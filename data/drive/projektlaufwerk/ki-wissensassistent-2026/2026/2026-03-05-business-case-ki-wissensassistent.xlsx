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Business Case IP-2026-02 KI-Wissensassistent</t>
        </is>
      </c>
      <c r="B1" t="inlineStr"/>
      <c r="C1" t="inlineStr"/>
      <c r="D1" t="inlineStr"/>
    </row>
    <row r="2">
      <c r="A2" t="inlineStr">
        <is>
          <t>Stand</t>
        </is>
      </c>
      <c r="B2" t="inlineStr">
        <is>
          <t>2026-03-05</t>
        </is>
      </c>
      <c r="C2" t="inlineStr">
        <is>
          <t>Verfasser</t>
        </is>
      </c>
      <c r="D2" t="inlineStr">
        <is>
          <t>Tobias Kern</t>
        </is>
      </c>
    </row>
    <row r="4">
      <c r="A4" s="1" t="inlineStr">
        <is>
          <t>Annahme</t>
        </is>
      </c>
      <c r="B4" t="inlineStr">
        <is>
          <t>Wert</t>
        </is>
      </c>
      <c r="C4" t="inlineStr">
        <is>
          <t>Einheit</t>
        </is>
      </c>
      <c r="D4" t="inlineStr">
        <is>
          <t>Quelle</t>
        </is>
      </c>
    </row>
    <row r="5">
      <c r="A5" t="inlineStr">
        <is>
          <t>Nutzer im Rollout</t>
        </is>
      </c>
      <c r="B5" t="n">
        <v>250</v>
      </c>
      <c r="C5" t="inlineStr">
        <is>
          <t>Personen</t>
        </is>
      </c>
      <c r="D5" t="inlineStr">
        <is>
          <t>PEO-Erhebung Q4 2025</t>
        </is>
      </c>
    </row>
    <row r="6">
      <c r="A6" t="inlineStr">
        <is>
          <t>Suchaufwand je Nutzer</t>
        </is>
      </c>
      <c r="B6" t="n">
        <v>4.2</v>
      </c>
      <c r="C6" t="inlineStr">
        <is>
          <t>h/Woche</t>
        </is>
      </c>
      <c r="D6" t="inlineStr">
        <is>
          <t>PEO-Erhebung Q4 2025</t>
        </is>
      </c>
    </row>
    <row r="7">
      <c r="A7" t="inlineStr">
        <is>
          <t>Reduktion durch Assistent</t>
        </is>
      </c>
      <c r="B7" t="n">
        <v>0.25</v>
      </c>
      <c r="C7" t="inlineStr">
        <is>
          <t>Anteil</t>
        </is>
      </c>
      <c r="D7" t="inlineStr">
        <is>
          <t>Anbieterangabe, Referenzkunde</t>
        </is>
      </c>
    </row>
    <row r="8">
      <c r="A8" t="inlineStr">
        <is>
          <t>Stundensatz kalkulatorisch</t>
        </is>
      </c>
      <c r="B8" t="n">
        <v>62</v>
      </c>
      <c r="C8" t="inlineStr">
        <is>
          <t>EUR/h</t>
        </is>
      </c>
      <c r="D8" t="inlineStr">
        <is>
          <t>Controlling</t>
        </is>
      </c>
    </row>
    <row r="9">
      <c r="A9" t="inlineStr">
        <is>
          <t>Produktive Wochen</t>
        </is>
      </c>
      <c r="B9" t="n">
        <v>46</v>
      </c>
      <c r="C9" t="inlineStr">
        <is>
          <t>Wochen</t>
        </is>
      </c>
      <c r="D9" t="inlineStr">
        <is>
          <t>Controlling</t>
        </is>
      </c>
    </row>
    <row r="11">
      <c r="A11" s="1" t="inlineStr">
        <is>
          <t>Kosten</t>
        </is>
      </c>
      <c r="B11" t="inlineStr">
        <is>
          <t>2026</t>
        </is>
      </c>
      <c r="C11" t="inlineStr">
        <is>
          <t>2027</t>
        </is>
      </c>
      <c r="D11" t="inlineStr">
        <is>
          <t>2028</t>
        </is>
      </c>
    </row>
    <row r="12">
      <c r="A12" t="inlineStr">
        <is>
          <t>Implementierung extern</t>
        </is>
      </c>
      <c r="B12" t="n">
        <v>260000</v>
      </c>
      <c r="C12" t="n">
        <v>0</v>
      </c>
      <c r="D12" t="n">
        <v>0</v>
      </c>
    </row>
    <row r="13">
      <c r="A13" t="inlineStr">
        <is>
          <t>Interner Aufwand</t>
        </is>
      </c>
      <c r="B13" t="n">
        <v>160000</v>
      </c>
      <c r="C13" t="n">
        <v>0</v>
      </c>
      <c r="D13" t="n">
        <v>0</v>
      </c>
    </row>
    <row r="14">
      <c r="A14" t="inlineStr">
        <is>
          <t>Plattformlizenz</t>
        </is>
      </c>
      <c r="B14" t="n">
        <v>48000</v>
      </c>
      <c r="C14" t="n">
        <v>96000</v>
      </c>
      <c r="D14" t="n">
        <v>96000</v>
      </c>
    </row>
    <row r="15">
      <c r="A15" t="inlineStr">
        <is>
          <t>Betrieb, Support, Modellkosten</t>
        </is>
      </c>
      <c r="B15" t="n">
        <v>27500</v>
      </c>
      <c r="C15" t="n">
        <v>55000</v>
      </c>
      <c r="D15" t="n">
        <v>55000</v>
      </c>
    </row>
    <row r="16">
      <c r="A16" t="inlineStr">
        <is>
          <t>Schulung und Change</t>
        </is>
      </c>
      <c r="B16" t="n">
        <v>35000</v>
      </c>
      <c r="C16" t="n">
        <v>10000</v>
      </c>
      <c r="D16" t="n">
        <v>10000</v>
      </c>
    </row>
    <row r="17">
      <c r="A17" t="inlineStr">
        <is>
          <t>Summe Kosten</t>
        </is>
      </c>
      <c r="B17">
        <f>SUM(B12:B16)</f>
        <v/>
      </c>
      <c r="C17">
        <f>SUM(C12:C16)</f>
        <v/>
      </c>
      <c r="D17">
        <f>SUM(D12:D16)</f>
        <v/>
      </c>
    </row>
    <row r="19">
      <c r="A19" s="1" t="inlineStr">
        <is>
          <t>Nutzen</t>
        </is>
      </c>
      <c r="B19" t="inlineStr">
        <is>
          <t>2026</t>
        </is>
      </c>
      <c r="C19" t="inlineStr">
        <is>
          <t>2027</t>
        </is>
      </c>
      <c r="D19" t="inlineStr">
        <is>
          <t>2028</t>
        </is>
      </c>
    </row>
    <row r="20">
      <c r="A20" t="inlineStr">
        <is>
          <t>Eingesparte Suchzeit (EUR)</t>
        </is>
      </c>
      <c r="B20">
        <f>60*B6*B7*23*B8</f>
        <v/>
      </c>
      <c r="C20">
        <f>B5*B6*B7*B9*B8</f>
        <v/>
      </c>
      <c r="D20">
        <f>B5*B6*B7*B9*B8</f>
        <v/>
      </c>
    </row>
    <row r="22">
      <c r="A22" s="1" t="inlineStr">
        <is>
          <t>Ergebnis</t>
        </is>
      </c>
      <c r="B22" t="inlineStr">
        <is>
          <t>2026</t>
        </is>
      </c>
      <c r="C22" t="inlineStr">
        <is>
          <t>2027</t>
        </is>
      </c>
      <c r="D22" t="inlineStr">
        <is>
          <t>2028</t>
        </is>
      </c>
    </row>
    <row r="23">
      <c r="A23" t="inlineStr">
        <is>
          <t>Jahresergebnis</t>
        </is>
      </c>
      <c r="B23">
        <f>B20-B17</f>
        <v/>
      </c>
      <c r="C23">
        <f>C20-C17</f>
        <v/>
      </c>
      <c r="D23">
        <f>D20-D17</f>
        <v/>
      </c>
    </row>
    <row r="24">
      <c r="A24" t="inlineStr">
        <is>
          <t>Kumuliert</t>
        </is>
      </c>
      <c r="B24">
        <f>B23</f>
        <v/>
      </c>
      <c r="C24">
        <f>B24+C23</f>
        <v/>
      </c>
      <c r="D24">
        <f>C24+D23</f>
        <v/>
      </c>
    </row>
    <row r="26">
      <c r="A26" s="1" t="inlineStr">
        <is>
          <t>Sensitivität Reduktion</t>
        </is>
      </c>
      <c r="B26" t="inlineStr">
        <is>
          <t>15 %</t>
        </is>
      </c>
      <c r="C26" t="inlineStr">
        <is>
          <t>20 %</t>
        </is>
      </c>
      <c r="D26" t="inlineStr">
        <is>
          <t>25 %</t>
        </is>
      </c>
    </row>
    <row r="27">
      <c r="A27" t="inlineStr">
        <is>
          <t>Nutzen je Vollj. (EUR)</t>
        </is>
      </c>
      <c r="B27">
        <f>B5*B6*0.15*B9*B8</f>
        <v/>
      </c>
      <c r="C27">
        <f>B5*B6*0.20*B9*B8</f>
        <v/>
      </c>
      <c r="D27">
        <f>B5*B6*0.25*B9*B8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2026-09-05T12:04:37Z</dcterms:created>
  <dcterms:modified xmlns:dcterms="http://purl.org/dc/terms/" xmlns:xsi="http://www.w3.org/2001/XMLSchema-instance" xsi:type="dcterms:W3CDTF">2026-09-05T12:04:37Z</dcterms:modified>
</cp:coreProperties>
</file>