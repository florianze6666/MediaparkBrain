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ounted EVA" sheetId="2" state="visible" r:id="rId2"/>
    <sheet xmlns:r="http://schemas.openxmlformats.org/officeDocument/2006/relationships" name="Upload" sheetId="3" state="visible" r:id="rId3"/>
    <sheet xmlns:r="http://schemas.openxmlformats.org/officeDocument/2006/relationships" name="Project 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</font>
    <font>
      <b val="1"/>
      <color rgb="00FFFFFF"/>
    </font>
    <font/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20" customWidth="1" min="4" max="4"/>
    <col width="3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IT Business Case 2026</t>
        </is>
      </c>
      <c r="B1" s="2" t="inlineStr">
        <is>
          <t>TANGENT – Windows-11-Migration und Client-Erneuerung</t>
        </is>
      </c>
    </row>
    <row r="2">
      <c r="A2" s="3" t="inlineStr">
        <is>
          <t>Summary</t>
        </is>
      </c>
    </row>
    <row r="4">
      <c r="A4" s="3" t="inlineStr">
        <is>
          <t>MCC Country</t>
        </is>
      </c>
      <c r="B4" t="inlineStr">
        <is>
          <t>Corporate</t>
        </is>
      </c>
      <c r="D4" s="3" t="inlineStr">
        <is>
          <t>Project Manager</t>
        </is>
      </c>
      <c r="E4" t="inlineStr">
        <is>
          <t>Nicole Ahrens</t>
        </is>
      </c>
    </row>
    <row r="5">
      <c r="A5" s="3" t="inlineStr">
        <is>
          <t>MCC Decision item ID</t>
        </is>
      </c>
      <c r="B5" t="inlineStr">
        <is>
          <t>4126</t>
        </is>
      </c>
      <c r="D5" s="3" t="inlineStr">
        <is>
          <t>Project Sponsor</t>
        </is>
      </c>
      <c r="E5" t="inlineStr">
        <is>
          <t>Thomas Riedl (CIO)</t>
        </is>
      </c>
    </row>
    <row r="6">
      <c r="A6" s="3" t="inlineStr">
        <is>
          <t>Project Number(s)</t>
        </is>
      </c>
      <c r="B6" t="inlineStr">
        <is>
          <t>BC-2026-0594.1</t>
        </is>
      </c>
      <c r="D6" s="3" t="inlineStr">
        <is>
          <t>Creation date</t>
        </is>
      </c>
      <c r="E6" t="inlineStr">
        <is>
          <t>2026-08-25</t>
        </is>
      </c>
    </row>
    <row r="7">
      <c r="A7" s="3" t="inlineStr">
        <is>
          <t>Project Name</t>
        </is>
      </c>
      <c r="B7" t="inlineStr">
        <is>
          <t>TANGENT – Windows-11-Migration und Client-Erneuerung</t>
        </is>
      </c>
      <c r="D7" s="3" t="inlineStr">
        <is>
          <t>Start (FY)</t>
        </is>
      </c>
      <c r="E7" t="n">
        <v>2026</v>
      </c>
    </row>
    <row r="8">
      <c r="A8" s="3" t="inlineStr">
        <is>
          <t>Program Name</t>
        </is>
      </c>
      <c r="B8" t="inlineStr">
        <is>
          <t>VELTRAX Corporate Services GmbH – Corporate IT – End User Services</t>
        </is>
      </c>
      <c r="D8" s="3" t="inlineStr">
        <is>
          <t>Go-Live (FY)</t>
        </is>
      </c>
      <c r="E8" t="n">
        <v>2026</v>
      </c>
    </row>
    <row r="9">
      <c r="A9" s="3" t="inlineStr">
        <is>
          <t>Confidentiality</t>
        </is>
      </c>
      <c r="B9" t="inlineStr">
        <is>
          <t>internal</t>
        </is>
      </c>
      <c r="D9" s="3" t="inlineStr">
        <is>
          <t>Currency</t>
        </is>
      </c>
      <c r="E9" t="inlineStr">
        <is>
          <t>EUR</t>
        </is>
      </c>
    </row>
    <row r="12">
      <c r="A12" s="4" t="inlineStr">
        <is>
          <t>Fiscal year</t>
        </is>
      </c>
      <c r="B12" s="4" t="n">
        <v>2026</v>
      </c>
      <c r="C12" s="4" t="n">
        <v>2027</v>
      </c>
      <c r="D12" s="4" t="n">
        <v>2028</v>
      </c>
      <c r="E12" s="4" t="n">
        <v>2029</v>
      </c>
      <c r="F12" s="4" t="n">
        <v>2030</v>
      </c>
      <c r="G12" s="4" t="n">
        <v>2031</v>
      </c>
      <c r="H12" s="4" t="n">
        <v>2032</v>
      </c>
      <c r="I12" s="4" t="n">
        <v>2033</v>
      </c>
      <c r="J12" s="4" t="n">
        <v>2034</v>
      </c>
      <c r="K12" s="4" t="n">
        <v>2035</v>
      </c>
      <c r="L12" s="4" t="inlineStr">
        <is>
          <t>Total</t>
        </is>
      </c>
    </row>
    <row r="13">
      <c r="A13" s="3" t="inlineStr">
        <is>
          <t>I. Cost-Benefit Comparison</t>
        </is>
      </c>
    </row>
    <row r="14">
      <c r="A14" s="5" t="inlineStr">
        <is>
          <t>Non-capitalizable effort</t>
        </is>
      </c>
      <c r="B14" s="6" t="n">
        <v>320000</v>
      </c>
      <c r="C14" s="6" t="n">
        <v>70000</v>
      </c>
      <c r="D14" s="6" t="n">
        <v>70000</v>
      </c>
      <c r="E14" s="6" t="n">
        <v>70000</v>
      </c>
      <c r="F14" s="6" t="n">
        <v>70000</v>
      </c>
      <c r="G14" s="6" t="n">
        <v>70000</v>
      </c>
      <c r="H14" s="6" t="n">
        <v>70000</v>
      </c>
      <c r="I14" s="6" t="n">
        <v>70000</v>
      </c>
      <c r="J14" s="6" t="n">
        <v>70000</v>
      </c>
      <c r="K14" s="6" t="n">
        <v>70000</v>
      </c>
      <c r="L14" s="7">
        <f>SUM(B14:K14)</f>
        <v/>
      </c>
    </row>
    <row r="15">
      <c r="A15" s="5" t="inlineStr">
        <is>
          <t>Depreciation</t>
        </is>
      </c>
      <c r="B15" s="6" t="n">
        <v>580000</v>
      </c>
      <c r="C15" s="6" t="n">
        <v>580000</v>
      </c>
      <c r="D15" s="6" t="n">
        <v>580000</v>
      </c>
      <c r="E15" s="6" t="n">
        <v>580000</v>
      </c>
      <c r="F15" s="6" t="n">
        <v>580000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7">
        <f>SUM(B15:K15)</f>
        <v/>
      </c>
    </row>
    <row r="16">
      <c r="A16" s="3" t="inlineStr">
        <is>
          <t>Costs</t>
        </is>
      </c>
      <c r="B16" s="6">
        <f>B14+B15</f>
        <v/>
      </c>
      <c r="C16" s="6">
        <f>C14+C15</f>
        <v/>
      </c>
      <c r="D16" s="6">
        <f>D14+D15</f>
        <v/>
      </c>
      <c r="E16" s="6">
        <f>E14+E15</f>
        <v/>
      </c>
      <c r="F16" s="6">
        <f>F14+F15</f>
        <v/>
      </c>
      <c r="G16" s="6">
        <f>G14+G15</f>
        <v/>
      </c>
      <c r="H16" s="6">
        <f>H14+H15</f>
        <v/>
      </c>
      <c r="I16" s="6">
        <f>I14+I15</f>
        <v/>
      </c>
      <c r="J16" s="6">
        <f>J14+J15</f>
        <v/>
      </c>
      <c r="K16" s="6">
        <f>K14+K15</f>
        <v/>
      </c>
      <c r="L16" s="7">
        <f>SUM(B16:K16)</f>
        <v/>
      </c>
    </row>
    <row r="17">
      <c r="A17" s="5" t="inlineStr">
        <is>
          <t>Sales benefits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7">
        <f>SUM(B17:K17)</f>
        <v/>
      </c>
    </row>
    <row r="18">
      <c r="A18" s="5" t="inlineStr">
        <is>
          <t>Cost savings</t>
        </is>
      </c>
      <c r="B18" s="6" t="n">
        <v>135000</v>
      </c>
      <c r="C18" s="6" t="n">
        <v>270000</v>
      </c>
      <c r="D18" s="6" t="n">
        <v>270000</v>
      </c>
      <c r="E18" s="6" t="n">
        <v>270000</v>
      </c>
      <c r="F18" s="6" t="n">
        <v>270000</v>
      </c>
      <c r="G18" s="6" t="n">
        <v>270000</v>
      </c>
      <c r="H18" s="6" t="n">
        <v>270000</v>
      </c>
      <c r="I18" s="6" t="n">
        <v>270000</v>
      </c>
      <c r="J18" s="6" t="n">
        <v>270000</v>
      </c>
      <c r="K18" s="6" t="n">
        <v>270000</v>
      </c>
      <c r="L18" s="7">
        <f>SUM(B18:K18)</f>
        <v/>
      </c>
    </row>
    <row r="19">
      <c r="A19" s="3" t="inlineStr">
        <is>
          <t>Benefits</t>
        </is>
      </c>
      <c r="B19" s="6">
        <f>B17+B18</f>
        <v/>
      </c>
      <c r="C19" s="6">
        <f>C17+C18</f>
        <v/>
      </c>
      <c r="D19" s="6">
        <f>D17+D18</f>
        <v/>
      </c>
      <c r="E19" s="6">
        <f>E17+E18</f>
        <v/>
      </c>
      <c r="F19" s="6">
        <f>F17+F18</f>
        <v/>
      </c>
      <c r="G19" s="6">
        <f>G17+G18</f>
        <v/>
      </c>
      <c r="H19" s="6">
        <f>H17+H18</f>
        <v/>
      </c>
      <c r="I19" s="6">
        <f>I17+I18</f>
        <v/>
      </c>
      <c r="J19" s="6">
        <f>J17+J18</f>
        <v/>
      </c>
      <c r="K19" s="6">
        <f>K17+K18</f>
        <v/>
      </c>
      <c r="L19" s="7">
        <f>SUM(B19:K19)</f>
        <v/>
      </c>
    </row>
    <row r="20">
      <c r="A20" s="3" t="inlineStr">
        <is>
          <t>EBIT - Earnings Before Interest and Taxes</t>
        </is>
      </c>
      <c r="B20" s="6">
        <f>B19-B16</f>
        <v/>
      </c>
      <c r="C20" s="6">
        <f>C19-C16</f>
        <v/>
      </c>
      <c r="D20" s="6">
        <f>D19-D16</f>
        <v/>
      </c>
      <c r="E20" s="6">
        <f>E19-E16</f>
        <v/>
      </c>
      <c r="F20" s="6">
        <f>F19-F16</f>
        <v/>
      </c>
      <c r="G20" s="6">
        <f>G19-G16</f>
        <v/>
      </c>
      <c r="H20" s="6">
        <f>H19-H16</f>
        <v/>
      </c>
      <c r="I20" s="6">
        <f>I19-I16</f>
        <v/>
      </c>
      <c r="J20" s="6">
        <f>J19-J16</f>
        <v/>
      </c>
      <c r="K20" s="6">
        <f>K19-K16</f>
        <v/>
      </c>
      <c r="L20" s="7">
        <f>SUM(B20:K20)</f>
        <v/>
      </c>
    </row>
    <row r="22">
      <c r="A22" s="3" t="inlineStr">
        <is>
          <t>II. Key Figures</t>
        </is>
      </c>
    </row>
    <row r="23">
      <c r="A23" s="3" t="inlineStr">
        <is>
          <t>Total costs (all years)</t>
        </is>
      </c>
      <c r="B23" s="6" t="n">
        <v>3850000</v>
      </c>
    </row>
    <row r="24">
      <c r="A24" s="3" t="inlineStr">
        <is>
          <t>Total benefits (all years)</t>
        </is>
      </c>
      <c r="B24" s="6" t="n">
        <v>2565000</v>
      </c>
    </row>
    <row r="25">
      <c r="A25" s="3" t="inlineStr">
        <is>
          <t>EBIT (all years)</t>
        </is>
      </c>
      <c r="B25" s="6" t="n">
        <v>-1285000</v>
      </c>
    </row>
    <row r="26">
      <c r="A26" s="3" t="inlineStr">
        <is>
          <t>Discounted EVA cumulated (all years)</t>
        </is>
      </c>
      <c r="B26" s="6" t="n">
        <v>-1276379</v>
      </c>
    </row>
    <row r="27">
      <c r="A27" s="3" t="inlineStr">
        <is>
          <t>ROI (all years)</t>
        </is>
      </c>
      <c r="B27" s="8" t="n">
        <v>-0.33</v>
      </c>
    </row>
    <row r="28">
      <c r="A28" s="3" t="inlineStr">
        <is>
          <t>Payback Period (months)</t>
        </is>
      </c>
      <c r="B28" t="inlineStr">
        <is>
          <t>n/a</t>
        </is>
      </c>
    </row>
    <row r="29">
      <c r="A29" s="3" t="inlineStr">
        <is>
          <t>Tax Rate</t>
        </is>
      </c>
      <c r="B29" s="8" t="n">
        <v>0.2693868692901478</v>
      </c>
    </row>
    <row r="30">
      <c r="A30" s="3" t="inlineStr">
        <is>
          <t>WACC</t>
        </is>
      </c>
      <c r="B30" s="8" t="n">
        <v>0.05810442489667973</v>
      </c>
    </row>
    <row r="31">
      <c r="A31" s="3" t="inlineStr">
        <is>
          <t>Recommendation</t>
        </is>
      </c>
      <c r="B31" t="inlineStr">
        <is>
          <t>Freigabe empfohlen – Business Case positiv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II. Discounted EVA</t>
        </is>
      </c>
    </row>
    <row r="3">
      <c r="A3" s="3" t="inlineStr">
        <is>
          <t>Fiscal year</t>
        </is>
      </c>
      <c r="B3" s="3" t="n">
        <v>2026</v>
      </c>
      <c r="C3" s="3" t="n">
        <v>2027</v>
      </c>
      <c r="D3" s="3" t="n">
        <v>2028</v>
      </c>
      <c r="E3" s="3" t="n">
        <v>2029</v>
      </c>
      <c r="F3" s="3" t="n">
        <v>2030</v>
      </c>
      <c r="G3" s="3" t="n">
        <v>2031</v>
      </c>
      <c r="H3" s="3" t="n">
        <v>2032</v>
      </c>
      <c r="I3" s="3" t="n">
        <v>2033</v>
      </c>
      <c r="J3" s="3" t="n">
        <v>2034</v>
      </c>
      <c r="K3" s="3" t="n">
        <v>2035</v>
      </c>
      <c r="L3" s="3" t="inlineStr">
        <is>
          <t>Total</t>
        </is>
      </c>
    </row>
    <row r="4">
      <c r="A4" t="inlineStr">
        <is>
          <t>EBIT - Earnings before Interest and Taxes</t>
        </is>
      </c>
      <c r="B4" s="6" t="n">
        <v>-765000</v>
      </c>
      <c r="C4" s="6" t="n">
        <v>-380000</v>
      </c>
      <c r="D4" s="6" t="n">
        <v>-380000</v>
      </c>
      <c r="E4" s="6" t="n">
        <v>-380000</v>
      </c>
      <c r="F4" s="6" t="n">
        <v>-380000</v>
      </c>
      <c r="G4" s="6" t="n">
        <v>200000</v>
      </c>
      <c r="H4" s="6" t="n">
        <v>200000</v>
      </c>
      <c r="I4" s="6" t="n">
        <v>200000</v>
      </c>
      <c r="J4" s="6" t="n">
        <v>200000</v>
      </c>
      <c r="K4" s="6" t="n">
        <v>200000</v>
      </c>
      <c r="L4" s="6">
        <f>SUM(B4:K4)</f>
        <v/>
      </c>
    </row>
    <row r="5">
      <c r="A5" t="inlineStr">
        <is>
          <t>Calculated Tax</t>
        </is>
      </c>
      <c r="B5" s="6" t="n">
        <v>206081</v>
      </c>
      <c r="C5" s="6" t="n">
        <v>102367</v>
      </c>
      <c r="D5" s="6" t="n">
        <v>102367</v>
      </c>
      <c r="E5" s="6" t="n">
        <v>102367</v>
      </c>
      <c r="F5" s="6" t="n">
        <v>102367</v>
      </c>
      <c r="G5" s="6" t="n">
        <v>-53877</v>
      </c>
      <c r="H5" s="6" t="n">
        <v>-53877</v>
      </c>
      <c r="I5" s="6" t="n">
        <v>-53877</v>
      </c>
      <c r="J5" s="6" t="n">
        <v>-53877</v>
      </c>
      <c r="K5" s="6" t="n">
        <v>-53877</v>
      </c>
      <c r="L5" s="6">
        <f>SUM(B5:K5)</f>
        <v/>
      </c>
    </row>
    <row r="6">
      <c r="A6" t="inlineStr">
        <is>
          <t>NOPAT - Net operating profit after taxes</t>
        </is>
      </c>
      <c r="B6" s="6" t="n">
        <v>-558919</v>
      </c>
      <c r="C6" s="6" t="n">
        <v>-277633</v>
      </c>
      <c r="D6" s="6" t="n">
        <v>-277633</v>
      </c>
      <c r="E6" s="6" t="n">
        <v>-277633</v>
      </c>
      <c r="F6" s="6" t="n">
        <v>-277633</v>
      </c>
      <c r="G6" s="6" t="n">
        <v>146123</v>
      </c>
      <c r="H6" s="6" t="n">
        <v>146123</v>
      </c>
      <c r="I6" s="6" t="n">
        <v>146123</v>
      </c>
      <c r="J6" s="6" t="n">
        <v>146123</v>
      </c>
      <c r="K6" s="6" t="n">
        <v>146123</v>
      </c>
      <c r="L6" s="6">
        <f>SUM(B6:K6)</f>
        <v/>
      </c>
    </row>
    <row r="7">
      <c r="A7" t="inlineStr">
        <is>
          <t>Capital Employed (residual book value)</t>
        </is>
      </c>
      <c r="B7" s="6" t="n">
        <v>2320000</v>
      </c>
      <c r="C7" s="6" t="n">
        <v>1740000</v>
      </c>
      <c r="D7" s="6" t="n">
        <v>1160000</v>
      </c>
      <c r="E7" s="6" t="n">
        <v>580000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</row>
    <row r="8">
      <c r="A8" t="inlineStr">
        <is>
          <t>Calculation Cost of Capital</t>
        </is>
      </c>
      <c r="B8" s="6" t="n">
        <v>-134802</v>
      </c>
      <c r="C8" s="6" t="n">
        <v>-101102</v>
      </c>
      <c r="D8" s="6" t="n">
        <v>-67401</v>
      </c>
      <c r="E8" s="6" t="n">
        <v>-33701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>
        <f>SUM(B8:K8)</f>
        <v/>
      </c>
    </row>
    <row r="9">
      <c r="A9" t="inlineStr">
        <is>
          <t>EVA per period</t>
        </is>
      </c>
      <c r="B9" s="6" t="n">
        <v>-693721</v>
      </c>
      <c r="C9" s="6" t="n">
        <v>-378735</v>
      </c>
      <c r="D9" s="6" t="n">
        <v>-345034</v>
      </c>
      <c r="E9" s="6" t="n">
        <v>-311334</v>
      </c>
      <c r="F9" s="6" t="n">
        <v>-277633</v>
      </c>
      <c r="G9" s="6" t="n">
        <v>146123</v>
      </c>
      <c r="H9" s="6" t="n">
        <v>146123</v>
      </c>
      <c r="I9" s="6" t="n">
        <v>146123</v>
      </c>
      <c r="J9" s="6" t="n">
        <v>146123</v>
      </c>
      <c r="K9" s="6" t="n">
        <v>146123</v>
      </c>
      <c r="L9" s="6">
        <f>SUM(B9:K9)</f>
        <v/>
      </c>
    </row>
    <row r="10">
      <c r="A10" t="inlineStr">
        <is>
          <t>Discounted EVA per period</t>
        </is>
      </c>
      <c r="B10" s="6" t="n">
        <v>-655627</v>
      </c>
      <c r="C10" s="6" t="n">
        <v>-338281</v>
      </c>
      <c r="D10" s="6" t="n">
        <v>-291257</v>
      </c>
      <c r="E10" s="6" t="n">
        <v>-248377</v>
      </c>
      <c r="F10" s="6" t="n">
        <v>-209329</v>
      </c>
      <c r="G10" s="6" t="n">
        <v>104123</v>
      </c>
      <c r="H10" s="6" t="n">
        <v>98405</v>
      </c>
      <c r="I10" s="6" t="n">
        <v>93001</v>
      </c>
      <c r="J10" s="6" t="n">
        <v>87894</v>
      </c>
      <c r="K10" s="6" t="n">
        <v>83068</v>
      </c>
      <c r="L10" s="6">
        <f>SUM(B10:K10)</f>
        <v/>
      </c>
    </row>
    <row r="11">
      <c r="A11" t="inlineStr">
        <is>
          <t>Discounted EVA cumulated</t>
        </is>
      </c>
      <c r="B11" s="6" t="n">
        <v>-655627</v>
      </c>
      <c r="C11" s="6" t="n">
        <v>-993908</v>
      </c>
      <c r="D11" s="6" t="n">
        <v>-1285165</v>
      </c>
      <c r="E11" s="6" t="n">
        <v>-1533542</v>
      </c>
      <c r="F11" s="6" t="n">
        <v>-1742871</v>
      </c>
      <c r="G11" s="6" t="n">
        <v>-1638748</v>
      </c>
      <c r="H11" s="6" t="n">
        <v>-1540343</v>
      </c>
      <c r="I11" s="6" t="n">
        <v>-1447341</v>
      </c>
      <c r="J11" s="6" t="n">
        <v>-1359447</v>
      </c>
      <c r="K11" s="6" t="n">
        <v>-1276379</v>
      </c>
    </row>
    <row r="14">
      <c r="A14" s="3" t="inlineStr">
        <is>
          <t>Basic data for EVA Calculation</t>
        </is>
      </c>
    </row>
    <row r="15">
      <c r="A15" t="inlineStr">
        <is>
          <t>Tax Rate:</t>
        </is>
      </c>
      <c r="B15" s="9" t="n">
        <v>0.2693868692901478</v>
      </c>
      <c r="D15" t="inlineStr">
        <is>
          <t>WACC:</t>
        </is>
      </c>
      <c r="E15" s="9" t="n">
        <v>0.05810442489667973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44" customWidth="1" min="2" max="2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4" t="inlineStr">
        <is>
          <t>#</t>
        </is>
      </c>
      <c r="B1" s="4" t="inlineStr">
        <is>
          <t>Fiscal year</t>
        </is>
      </c>
      <c r="C1" s="4" t="inlineStr">
        <is>
          <t>Type of Cash Out</t>
        </is>
      </c>
      <c r="D1" s="4" t="inlineStr">
        <is>
          <t>Short Description</t>
        </is>
      </c>
      <c r="E1" s="4" t="n">
        <v>2026</v>
      </c>
      <c r="F1" s="4" t="n">
        <v>2027</v>
      </c>
      <c r="G1" s="4" t="n">
        <v>2028</v>
      </c>
      <c r="H1" s="4" t="n">
        <v>2029</v>
      </c>
      <c r="I1" s="4" t="n">
        <v>2030</v>
      </c>
      <c r="J1" s="4" t="n">
        <v>2031</v>
      </c>
      <c r="K1" s="4" t="n">
        <v>2032</v>
      </c>
      <c r="L1" s="4" t="n">
        <v>2033</v>
      </c>
      <c r="M1" s="4" t="n">
        <v>2034</v>
      </c>
      <c r="N1" s="4" t="n">
        <v>2035</v>
      </c>
    </row>
    <row r="2">
      <c r="A2" t="n">
        <v>1</v>
      </c>
      <c r="B2" t="inlineStr">
        <is>
          <t>SC 70 - Project Capitalizable (intern)</t>
        </is>
      </c>
      <c r="C2" t="inlineStr">
        <is>
          <t>One-Off</t>
        </is>
      </c>
      <c r="D2" t="inlineStr">
        <is>
          <t>Internal product, process and architecture effort</t>
        </is>
      </c>
      <c r="E2" s="6" t="n">
        <v>120000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</row>
    <row r="3">
      <c r="A3" t="n">
        <v>2</v>
      </c>
      <c r="B3" t="inlineStr">
        <is>
          <t>SC 70 - Project Capitalizable (extern)</t>
        </is>
      </c>
      <c r="C3" t="inlineStr">
        <is>
          <t>One-Off</t>
        </is>
      </c>
      <c r="D3" t="inlineStr">
        <is>
          <t>External development / implementation</t>
        </is>
      </c>
      <c r="E3" s="6" t="n">
        <v>180000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</row>
    <row r="4">
      <c r="A4" t="n">
        <v>3</v>
      </c>
      <c r="B4" t="inlineStr">
        <is>
          <t>SC 90 - Software Licenses (intern)</t>
        </is>
      </c>
      <c r="C4" t="inlineStr">
        <is>
          <t>One-Off</t>
        </is>
      </c>
      <c r="D4" t="inlineStr"/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</row>
    <row r="5">
      <c r="A5" t="n">
        <v>4</v>
      </c>
      <c r="B5" t="inlineStr">
        <is>
          <t>Local IT/IM Investments (extern)</t>
        </is>
      </c>
      <c r="C5" t="inlineStr">
        <is>
          <t>One-Off</t>
        </is>
      </c>
      <c r="D5" t="inlineStr">
        <is>
          <t>Local rollout infrastructure, hardware and devices</t>
        </is>
      </c>
      <c r="E5" s="6" t="n">
        <v>2600000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t="n">
        <v>5</v>
      </c>
      <c r="B6" t="inlineStr">
        <is>
          <t>SC 10 - Project Non Capitalizable (intern)</t>
        </is>
      </c>
      <c r="C6" t="inlineStr">
        <is>
          <t>One-Off</t>
        </is>
      </c>
      <c r="D6" t="inlineStr">
        <is>
          <t>Internal rollout, testing and change effort</t>
        </is>
      </c>
      <c r="E6" s="6" t="n">
        <v>90000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t="n">
        <v>6</v>
      </c>
      <c r="B7" t="inlineStr">
        <is>
          <t>SC 10 - Project Non Capitalizable (extern)</t>
        </is>
      </c>
      <c r="C7" t="inlineStr">
        <is>
          <t>One-Off</t>
        </is>
      </c>
      <c r="D7" t="inlineStr">
        <is>
          <t>External rollout, migration and launch support</t>
        </is>
      </c>
      <c r="E7" s="6" t="n">
        <v>160000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t="n">
        <v>7</v>
      </c>
      <c r="B8" t="inlineStr">
        <is>
          <t>SC 30 - Maint. and Support (intern)</t>
        </is>
      </c>
      <c r="C8" t="inlineStr">
        <is>
          <t>Recurrent</t>
        </is>
      </c>
      <c r="D8" t="inlineStr">
        <is>
          <t>Internal support and application operations</t>
        </is>
      </c>
      <c r="E8" s="6" t="n">
        <v>30000</v>
      </c>
      <c r="F8" s="6" t="n">
        <v>30000</v>
      </c>
      <c r="G8" s="6" t="n">
        <v>30000</v>
      </c>
      <c r="H8" s="6" t="n">
        <v>30000</v>
      </c>
      <c r="I8" s="6" t="n">
        <v>30000</v>
      </c>
      <c r="J8" s="6" t="n">
        <v>30000</v>
      </c>
      <c r="K8" s="6" t="n">
        <v>30000</v>
      </c>
      <c r="L8" s="6" t="n">
        <v>30000</v>
      </c>
      <c r="M8" s="6" t="n">
        <v>30000</v>
      </c>
      <c r="N8" s="6" t="n">
        <v>30000</v>
      </c>
    </row>
    <row r="9">
      <c r="A9" t="n">
        <v>8</v>
      </c>
      <c r="B9" t="inlineStr">
        <is>
          <t>SC 30 - SaaS (extern)</t>
        </is>
      </c>
      <c r="C9" t="inlineStr">
        <is>
          <t>Recurrent</t>
        </is>
      </c>
      <c r="D9" t="inlineStr">
        <is>
          <t>SaaS / cloud services</t>
        </is>
      </c>
      <c r="E9" s="6" t="n">
        <v>40000</v>
      </c>
      <c r="F9" s="6" t="n">
        <v>40000</v>
      </c>
      <c r="G9" s="6" t="n">
        <v>40000</v>
      </c>
      <c r="H9" s="6" t="n">
        <v>40000</v>
      </c>
      <c r="I9" s="6" t="n">
        <v>40000</v>
      </c>
      <c r="J9" s="6" t="n">
        <v>40000</v>
      </c>
      <c r="K9" s="6" t="n">
        <v>40000</v>
      </c>
      <c r="L9" s="6" t="n">
        <v>40000</v>
      </c>
      <c r="M9" s="6" t="n">
        <v>40000</v>
      </c>
      <c r="N9" s="6" t="n">
        <v>40000</v>
      </c>
    </row>
    <row r="10">
      <c r="A10" t="n">
        <v>9</v>
      </c>
      <c r="B10" t="inlineStr">
        <is>
          <t>SC 30 - Maint. for ext. SW Licenses (extern)</t>
        </is>
      </c>
      <c r="C10" t="inlineStr">
        <is>
          <t>Recurrent</t>
        </is>
      </c>
      <c r="D10" t="inlineStr"/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</row>
    <row r="11">
      <c r="A11" t="n">
        <v>20</v>
      </c>
      <c r="B11" t="inlineStr">
        <is>
          <t>Cost Savings</t>
        </is>
      </c>
      <c r="D11" t="inlineStr">
        <is>
          <t>Vermiedene ESU-Kosten Windows 10</t>
        </is>
      </c>
      <c r="E11" s="6" t="n">
        <v>105000</v>
      </c>
      <c r="F11" s="6" t="n">
        <v>210000</v>
      </c>
      <c r="G11" s="6" t="n">
        <v>210000</v>
      </c>
      <c r="H11" s="6" t="n">
        <v>210000</v>
      </c>
      <c r="I11" s="6" t="n">
        <v>210000</v>
      </c>
      <c r="J11" s="6" t="n">
        <v>210000</v>
      </c>
      <c r="K11" s="6" t="n">
        <v>210000</v>
      </c>
      <c r="L11" s="6" t="n">
        <v>210000</v>
      </c>
      <c r="M11" s="6" t="n">
        <v>210000</v>
      </c>
      <c r="N11" s="6" t="n">
        <v>210000</v>
      </c>
    </row>
    <row r="12">
      <c r="A12" t="n">
        <v>21</v>
      </c>
      <c r="B12" t="inlineStr">
        <is>
          <t>Cost Savings</t>
        </is>
      </c>
      <c r="D12" t="inlineStr">
        <is>
          <t>Reduzierter Bereitstellungsaufwand</t>
        </is>
      </c>
      <c r="E12" s="6" t="n">
        <v>30000</v>
      </c>
      <c r="F12" s="6" t="n">
        <v>60000</v>
      </c>
      <c r="G12" s="6" t="n">
        <v>60000</v>
      </c>
      <c r="H12" s="6" t="n">
        <v>60000</v>
      </c>
      <c r="I12" s="6" t="n">
        <v>60000</v>
      </c>
      <c r="J12" s="6" t="n">
        <v>60000</v>
      </c>
      <c r="K12" s="6" t="n">
        <v>60000</v>
      </c>
      <c r="L12" s="6" t="n">
        <v>60000</v>
      </c>
      <c r="M12" s="6" t="n">
        <v>60000</v>
      </c>
      <c r="N12" s="6" t="n">
        <v>60000</v>
      </c>
    </row>
    <row r="13">
      <c r="A13" t="n">
        <v>26</v>
      </c>
      <c r="B13" t="inlineStr">
        <is>
          <t>Non-quantitative Benefits</t>
        </is>
      </c>
      <c r="D13" t="inlineStr">
        <is>
          <t>Sicherheit; Compliance; Mitarbeiterproduktivität.</t>
        </is>
      </c>
    </row>
    <row r="14">
      <c r="A14" t="n">
        <v>31</v>
      </c>
      <c r="B14" t="inlineStr">
        <is>
          <t>Project Number</t>
        </is>
      </c>
      <c r="D14" t="inlineStr">
        <is>
          <t>BC-2026-0594.1</t>
        </is>
      </c>
    </row>
    <row r="15">
      <c r="A15" t="n">
        <v>32</v>
      </c>
      <c r="B15" t="inlineStr">
        <is>
          <t>Start FY</t>
        </is>
      </c>
      <c r="D15" t="n">
        <v>2026</v>
      </c>
    </row>
    <row r="16">
      <c r="A16" t="n">
        <v>33</v>
      </c>
      <c r="B16" t="inlineStr">
        <is>
          <t>Go-Live FY</t>
        </is>
      </c>
      <c r="D16" t="n">
        <v>2026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0" t="inlineStr">
        <is>
          <t>Project Name</t>
        </is>
      </c>
      <c r="B1" s="11" t="inlineStr">
        <is>
          <t>TANGENT – Windows-11-Migration und Client-Erneuerung</t>
        </is>
      </c>
    </row>
    <row r="2">
      <c r="A2" s="10" t="inlineStr">
        <is>
          <t>Project Number</t>
        </is>
      </c>
      <c r="B2" s="11" t="inlineStr">
        <is>
          <t>BC-2026-0594.1</t>
        </is>
      </c>
    </row>
    <row r="3">
      <c r="A3" s="10" t="inlineStr">
        <is>
          <t>Partner / Operating</t>
        </is>
      </c>
      <c r="B3" s="11" t="inlineStr">
        <is>
          <t>VELTRAX Corporate Services GmbH</t>
        </is>
      </c>
    </row>
    <row r="4">
      <c r="A4" s="10" t="inlineStr">
        <is>
          <t>Requesting Unit</t>
        </is>
      </c>
      <c r="B4" s="11" t="inlineStr">
        <is>
          <t>Corporate IT – End User Services</t>
        </is>
      </c>
    </row>
    <row r="5">
      <c r="A5" s="10" t="inlineStr">
        <is>
          <t>Project Sponsor</t>
        </is>
      </c>
      <c r="B5" s="11" t="inlineStr">
        <is>
          <t>Thomas Riedl (CIO)</t>
        </is>
      </c>
    </row>
    <row r="6">
      <c r="A6" s="10" t="inlineStr">
        <is>
          <t>Project Manager</t>
        </is>
      </c>
      <c r="B6" s="11" t="inlineStr">
        <is>
          <t>Nicole Ahrens</t>
        </is>
      </c>
    </row>
    <row r="7">
      <c r="A7" s="10" t="inlineStr">
        <is>
          <t>Lead - Affected Countries</t>
        </is>
      </c>
      <c r="B7" s="11" t="inlineStr">
        <is>
          <t>CORP; alle Landesgesellschaften</t>
        </is>
      </c>
    </row>
    <row r="8">
      <c r="A8" s="10" t="inlineStr">
        <is>
          <t>Description</t>
        </is>
      </c>
      <c r="B8" s="11" t="inlineStr">
        <is>
          <t>Migration aller ca. 14.000 Clients auf Windows 11 (Support-Ende Windows 10) inklusive Austausch von 5.200 nicht upgradefähigen Geräten und Umstellung auf Autopilot-Bereitstellung.</t>
        </is>
      </c>
    </row>
    <row r="9">
      <c r="A9" s="10" t="inlineStr">
        <is>
          <t>Objective (OKR/VCP)</t>
        </is>
      </c>
      <c r="B9" s="11" t="inlineStr">
        <is>
          <t>OBJ-440 – Supportete Client-Plattform, Zero-Touch-Bereitstellung.</t>
        </is>
      </c>
    </row>
    <row r="10">
      <c r="A10" s="10" t="inlineStr">
        <is>
          <t>Metrics</t>
        </is>
      </c>
      <c r="B10" s="11" t="inlineStr">
        <is>
          <t>Windows-10-Geräte: 0 bis Q3/2026; Bereitstellungszeit neuer Client &lt; 1 Tag; Ticketaufkommen Client −20 %</t>
        </is>
      </c>
    </row>
    <row r="11">
      <c r="A11" s="10" t="inlineStr">
        <is>
          <t>Planned Deliverables</t>
        </is>
      </c>
      <c r="B11" s="11" t="inlineStr">
        <is>
          <t>Kompatibilitätstest 310 Anwendungen; Hardware-Beschaffung und Rollout; Autopilot/Intune-Umstellung</t>
        </is>
      </c>
    </row>
    <row r="12">
      <c r="A12" s="10" t="inlineStr">
        <is>
          <t>Business Processes affected</t>
        </is>
      </c>
      <c r="B12" s="11" t="inlineStr">
        <is>
          <t>Client-Betrieb, Onboarding.</t>
        </is>
      </c>
    </row>
    <row r="13">
      <c r="A13" s="10" t="inlineStr">
        <is>
          <t>Organisational Units affected</t>
        </is>
      </c>
      <c r="B13" s="11" t="inlineStr">
        <is>
          <t>End User Services, Landes-IT, Einkauf, alle Mitarbeiter.</t>
        </is>
      </c>
    </row>
    <row r="14">
      <c r="A14" s="10" t="inlineStr">
        <is>
          <t>Technical Dependencies</t>
        </is>
      </c>
      <c r="B14" s="11" t="inlineStr">
        <is>
          <t>Intune/MDM, KEYSTONE für Geräteidentität; Legacy-Anwendungen ohne Win11-Support.</t>
        </is>
      </c>
    </row>
    <row r="15">
      <c r="A15" s="10" t="inlineStr">
        <is>
          <t>Organisational Dependencies</t>
        </is>
      </c>
      <c r="B15" s="11" t="inlineStr">
        <is>
          <t>Rollout-Fenster mit Standorten abstimmen.</t>
        </is>
      </c>
    </row>
    <row r="16">
      <c r="A16" s="10" t="inlineStr">
        <is>
          <t>Risks</t>
        </is>
      </c>
      <c r="B16" s="11" t="inlineStr">
        <is>
          <t>Lieferzeiten Hardware; Inkompatible Fachanwendungen; Extended Security Updates als Überbrückung teuer</t>
        </is>
      </c>
    </row>
    <row r="17">
      <c r="A17" s="10" t="inlineStr">
        <is>
          <t>Justification</t>
        </is>
      </c>
      <c r="B17" s="11" t="inlineStr">
        <is>
          <t>Support-Ende Windows 10; Pflichtprojekt. Empfehlung: Freigabe, der Business Case ist positiv.</t>
        </is>
      </c>
    </row>
    <row r="18">
      <c r="A18" s="10" t="inlineStr">
        <is>
          <t>Vendor / Product Information</t>
        </is>
      </c>
      <c r="B18" s="11" t="inlineStr">
        <is>
          <t>Hardware über Rahmenvertrag (Dell/Lenovo), Microsoft Intune.</t>
        </is>
      </c>
    </row>
    <row r="20">
      <c r="A20" s="12" t="inlineStr">
        <is>
          <t>Hinweis</t>
        </is>
      </c>
      <c r="B20" s="12" t="inlineStr">
        <is>
          <t>Fiktives Beispiel für Testzwecke. Alle Firmen-, Personen- und Produktbezüge sind erfunden.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2026-09-06T10:22:31Z</dcterms:created>
  <dcterms:modified xmlns:dcterms="http://purl.org/dc/terms/" xmlns:xsi="http://www.w3.org/2001/XMLSchema-instance" xsi:type="dcterms:W3CDTF">2026-09-06T10:22:31Z</dcterms:modified>
</cp:coreProperties>
</file>