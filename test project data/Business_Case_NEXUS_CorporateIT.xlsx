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NEXUS – API-Management-Plattform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Priya Nair (Enterprise Architect)</t>
        </is>
      </c>
    </row>
    <row r="5">
      <c r="A5" s="3" t="inlineStr">
        <is>
          <t>MCC Decision item ID</t>
        </is>
      </c>
      <c r="B5" t="inlineStr">
        <is>
          <t>4035</t>
        </is>
      </c>
      <c r="D5" s="3" t="inlineStr">
        <is>
          <t>Project Sponsor</t>
        </is>
      </c>
      <c r="E5" t="inlineStr">
        <is>
          <t>Thomas Riedl (CIO)</t>
        </is>
      </c>
    </row>
    <row r="6">
      <c r="A6" s="3" t="inlineStr">
        <is>
          <t>Project Number(s)</t>
        </is>
      </c>
      <c r="B6" t="inlineStr">
        <is>
          <t>BC-2026-0533.1</t>
        </is>
      </c>
      <c r="D6" s="3" t="inlineStr">
        <is>
          <t>Creation date</t>
        </is>
      </c>
      <c r="E6" t="inlineStr">
        <is>
          <t>2026-09-02</t>
        </is>
      </c>
    </row>
    <row r="7">
      <c r="A7" s="3" t="inlineStr">
        <is>
          <t>Project Name</t>
        </is>
      </c>
      <c r="B7" t="inlineStr">
        <is>
          <t>NEXUS – API-Management-Plattform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Corporate IT – Architecture</t>
        </is>
      </c>
      <c r="D8" s="3" t="inlineStr">
        <is>
          <t>Go-Live (FY)</t>
        </is>
      </c>
      <c r="E8" t="n">
        <v>2026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245000</v>
      </c>
      <c r="C14" s="6" t="n">
        <v>155000</v>
      </c>
      <c r="D14" s="6" t="n">
        <v>155000</v>
      </c>
      <c r="E14" s="6" t="n">
        <v>155000</v>
      </c>
      <c r="F14" s="6" t="n">
        <v>155000</v>
      </c>
      <c r="G14" s="6" t="n">
        <v>155000</v>
      </c>
      <c r="H14" s="6" t="n">
        <v>155000</v>
      </c>
      <c r="I14" s="6" t="n">
        <v>155000</v>
      </c>
      <c r="J14" s="6" t="n">
        <v>155000</v>
      </c>
      <c r="K14" s="6" t="n">
        <v>155000</v>
      </c>
      <c r="L14" s="7">
        <f>SUM(B14:K14)</f>
        <v/>
      </c>
    </row>
    <row r="15">
      <c r="A15" s="5" t="inlineStr">
        <is>
          <t>Depreciation</t>
        </is>
      </c>
      <c r="B15" s="6" t="n">
        <v>82000</v>
      </c>
      <c r="C15" s="6" t="n">
        <v>82000</v>
      </c>
      <c r="D15" s="6" t="n">
        <v>82000</v>
      </c>
      <c r="E15" s="6" t="n">
        <v>82000</v>
      </c>
      <c r="F15" s="6" t="n">
        <v>82000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150000</v>
      </c>
      <c r="C18" s="6" t="n">
        <v>300000</v>
      </c>
      <c r="D18" s="6" t="n">
        <v>300000</v>
      </c>
      <c r="E18" s="6" t="n">
        <v>300000</v>
      </c>
      <c r="F18" s="6" t="n">
        <v>300000</v>
      </c>
      <c r="G18" s="6" t="n">
        <v>300000</v>
      </c>
      <c r="H18" s="6" t="n">
        <v>300000</v>
      </c>
      <c r="I18" s="6" t="n">
        <v>300000</v>
      </c>
      <c r="J18" s="6" t="n">
        <v>300000</v>
      </c>
      <c r="K18" s="6" t="n">
        <v>300000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2050000</v>
      </c>
    </row>
    <row r="24">
      <c r="A24" s="3" t="inlineStr">
        <is>
          <t>Total benefits (all years)</t>
        </is>
      </c>
      <c r="B24" s="6" t="n">
        <v>2850000</v>
      </c>
    </row>
    <row r="25">
      <c r="A25" s="3" t="inlineStr">
        <is>
          <t>EBIT (all years)</t>
        </is>
      </c>
      <c r="B25" s="6" t="n">
        <v>800000</v>
      </c>
    </row>
    <row r="26">
      <c r="A26" s="3" t="inlineStr">
        <is>
          <t>Discounted EVA cumulated (all years)</t>
        </is>
      </c>
      <c r="B26" s="6" t="n">
        <v>324758</v>
      </c>
    </row>
    <row r="27">
      <c r="A27" s="3" t="inlineStr">
        <is>
          <t>ROI (all years)</t>
        </is>
      </c>
      <c r="B27" s="8" t="n">
        <v>0.39</v>
      </c>
    </row>
    <row r="28">
      <c r="A28" s="3" t="inlineStr">
        <is>
          <t>Payback Period (months)</t>
        </is>
      </c>
      <c r="B28" s="9" t="n">
        <v>45.7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-177000</v>
      </c>
      <c r="C4" s="6" t="n">
        <v>63000</v>
      </c>
      <c r="D4" s="6" t="n">
        <v>63000</v>
      </c>
      <c r="E4" s="6" t="n">
        <v>63000</v>
      </c>
      <c r="F4" s="6" t="n">
        <v>63000</v>
      </c>
      <c r="G4" s="6" t="n">
        <v>145000</v>
      </c>
      <c r="H4" s="6" t="n">
        <v>145000</v>
      </c>
      <c r="I4" s="6" t="n">
        <v>145000</v>
      </c>
      <c r="J4" s="6" t="n">
        <v>145000</v>
      </c>
      <c r="K4" s="6" t="n">
        <v>145000</v>
      </c>
      <c r="L4" s="6">
        <f>SUM(B4:K4)</f>
        <v/>
      </c>
    </row>
    <row r="5">
      <c r="A5" t="inlineStr">
        <is>
          <t>Calculated Tax</t>
        </is>
      </c>
      <c r="B5" s="6" t="n">
        <v>47681</v>
      </c>
      <c r="C5" s="6" t="n">
        <v>-16971</v>
      </c>
      <c r="D5" s="6" t="n">
        <v>-16971</v>
      </c>
      <c r="E5" s="6" t="n">
        <v>-16971</v>
      </c>
      <c r="F5" s="6" t="n">
        <v>-16971</v>
      </c>
      <c r="G5" s="6" t="n">
        <v>-39061</v>
      </c>
      <c r="H5" s="6" t="n">
        <v>-39061</v>
      </c>
      <c r="I5" s="6" t="n">
        <v>-39061</v>
      </c>
      <c r="J5" s="6" t="n">
        <v>-39061</v>
      </c>
      <c r="K5" s="6" t="n">
        <v>-39061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-129319</v>
      </c>
      <c r="C6" s="6" t="n">
        <v>46029</v>
      </c>
      <c r="D6" s="6" t="n">
        <v>46029</v>
      </c>
      <c r="E6" s="6" t="n">
        <v>46029</v>
      </c>
      <c r="F6" s="6" t="n">
        <v>46029</v>
      </c>
      <c r="G6" s="6" t="n">
        <v>105939</v>
      </c>
      <c r="H6" s="6" t="n">
        <v>105939</v>
      </c>
      <c r="I6" s="6" t="n">
        <v>105939</v>
      </c>
      <c r="J6" s="6" t="n">
        <v>105939</v>
      </c>
      <c r="K6" s="6" t="n">
        <v>105939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328000</v>
      </c>
      <c r="C7" s="6" t="n">
        <v>246000</v>
      </c>
      <c r="D7" s="6" t="n">
        <v>164000</v>
      </c>
      <c r="E7" s="6" t="n">
        <v>82000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-19058</v>
      </c>
      <c r="C8" s="6" t="n">
        <v>-14294</v>
      </c>
      <c r="D8" s="6" t="n">
        <v>-9529</v>
      </c>
      <c r="E8" s="6" t="n">
        <v>-4765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-148377</v>
      </c>
      <c r="C9" s="6" t="n">
        <v>31735</v>
      </c>
      <c r="D9" s="6" t="n">
        <v>36500</v>
      </c>
      <c r="E9" s="6" t="n">
        <v>41264</v>
      </c>
      <c r="F9" s="6" t="n">
        <v>46029</v>
      </c>
      <c r="G9" s="6" t="n">
        <v>105939</v>
      </c>
      <c r="H9" s="6" t="n">
        <v>105939</v>
      </c>
      <c r="I9" s="6" t="n">
        <v>105939</v>
      </c>
      <c r="J9" s="6" t="n">
        <v>105939</v>
      </c>
      <c r="K9" s="6" t="n">
        <v>105939</v>
      </c>
      <c r="L9" s="6">
        <f>SUM(B9:K9)</f>
        <v/>
      </c>
    </row>
    <row r="10">
      <c r="A10" t="inlineStr">
        <is>
          <t>Discounted EVA per period</t>
        </is>
      </c>
      <c r="B10" s="6" t="n">
        <v>-140229</v>
      </c>
      <c r="C10" s="6" t="n">
        <v>28345</v>
      </c>
      <c r="D10" s="6" t="n">
        <v>30811</v>
      </c>
      <c r="E10" s="6" t="n">
        <v>32920</v>
      </c>
      <c r="F10" s="6" t="n">
        <v>34704</v>
      </c>
      <c r="G10" s="6" t="n">
        <v>75489</v>
      </c>
      <c r="H10" s="6" t="n">
        <v>71344</v>
      </c>
      <c r="I10" s="6" t="n">
        <v>67426</v>
      </c>
      <c r="J10" s="6" t="n">
        <v>63723</v>
      </c>
      <c r="K10" s="6" t="n">
        <v>60224</v>
      </c>
      <c r="L10" s="6">
        <f>SUM(B10:K10)</f>
        <v/>
      </c>
    </row>
    <row r="11">
      <c r="A11" t="inlineStr">
        <is>
          <t>Discounted EVA cumulated</t>
        </is>
      </c>
      <c r="B11" s="6" t="n">
        <v>-140229</v>
      </c>
      <c r="C11" s="6" t="n">
        <v>-111884</v>
      </c>
      <c r="D11" s="6" t="n">
        <v>-81073</v>
      </c>
      <c r="E11" s="6" t="n">
        <v>-48153</v>
      </c>
      <c r="F11" s="6" t="n">
        <v>-13449</v>
      </c>
      <c r="G11" s="6" t="n">
        <v>62041</v>
      </c>
      <c r="H11" s="6" t="n">
        <v>133384</v>
      </c>
      <c r="I11" s="6" t="n">
        <v>200810</v>
      </c>
      <c r="J11" s="6" t="n">
        <v>264534</v>
      </c>
      <c r="K11" s="6" t="n">
        <v>324758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160000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180000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70000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40000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50000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50000</v>
      </c>
      <c r="F8" s="6" t="n">
        <v>50000</v>
      </c>
      <c r="G8" s="6" t="n">
        <v>50000</v>
      </c>
      <c r="H8" s="6" t="n">
        <v>50000</v>
      </c>
      <c r="I8" s="6" t="n">
        <v>50000</v>
      </c>
      <c r="J8" s="6" t="n">
        <v>50000</v>
      </c>
      <c r="K8" s="6" t="n">
        <v>50000</v>
      </c>
      <c r="L8" s="6" t="n">
        <v>50000</v>
      </c>
      <c r="M8" s="6" t="n">
        <v>50000</v>
      </c>
      <c r="N8" s="6" t="n">
        <v>50000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90000</v>
      </c>
      <c r="F9" s="6" t="n">
        <v>90000</v>
      </c>
      <c r="G9" s="6" t="n">
        <v>90000</v>
      </c>
      <c r="H9" s="6" t="n">
        <v>90000</v>
      </c>
      <c r="I9" s="6" t="n">
        <v>90000</v>
      </c>
      <c r="J9" s="6" t="n">
        <v>90000</v>
      </c>
      <c r="K9" s="6" t="n">
        <v>90000</v>
      </c>
      <c r="L9" s="6" t="n">
        <v>90000</v>
      </c>
      <c r="M9" s="6" t="n">
        <v>90000</v>
      </c>
      <c r="N9" s="6" t="n">
        <v>90000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15000</v>
      </c>
      <c r="F10" s="6" t="n">
        <v>15000</v>
      </c>
      <c r="G10" s="6" t="n">
        <v>15000</v>
      </c>
      <c r="H10" s="6" t="n">
        <v>15000</v>
      </c>
      <c r="I10" s="6" t="n">
        <v>15000</v>
      </c>
      <c r="J10" s="6" t="n">
        <v>15000</v>
      </c>
      <c r="K10" s="6" t="n">
        <v>15000</v>
      </c>
      <c r="L10" s="6" t="n">
        <v>15000</v>
      </c>
      <c r="M10" s="6" t="n">
        <v>15000</v>
      </c>
      <c r="N10" s="6" t="n">
        <v>15000</v>
      </c>
    </row>
    <row r="11">
      <c r="A11" t="n">
        <v>20</v>
      </c>
      <c r="B11" t="inlineStr">
        <is>
          <t>Cost Savings</t>
        </is>
      </c>
      <c r="D11" t="inlineStr">
        <is>
          <t>Reduzierter Integrationsaufwand je Projekt</t>
        </is>
      </c>
      <c r="E11" s="6" t="n">
        <v>110000</v>
      </c>
      <c r="F11" s="6" t="n">
        <v>220000</v>
      </c>
      <c r="G11" s="6" t="n">
        <v>220000</v>
      </c>
      <c r="H11" s="6" t="n">
        <v>220000</v>
      </c>
      <c r="I11" s="6" t="n">
        <v>220000</v>
      </c>
      <c r="J11" s="6" t="n">
        <v>220000</v>
      </c>
      <c r="K11" s="6" t="n">
        <v>220000</v>
      </c>
      <c r="L11" s="6" t="n">
        <v>220000</v>
      </c>
      <c r="M11" s="6" t="n">
        <v>220000</v>
      </c>
      <c r="N11" s="6" t="n">
        <v>220000</v>
      </c>
    </row>
    <row r="12">
      <c r="A12" t="n">
        <v>21</v>
      </c>
      <c r="B12" t="inlineStr">
        <is>
          <t>Cost Savings</t>
        </is>
      </c>
      <c r="D12" t="inlineStr">
        <is>
          <t>Wegfall Wartung Alt-Schnittstellen</t>
        </is>
      </c>
      <c r="E12" s="6" t="n">
        <v>40000</v>
      </c>
      <c r="F12" s="6" t="n">
        <v>80000</v>
      </c>
      <c r="G12" s="6" t="n">
        <v>80000</v>
      </c>
      <c r="H12" s="6" t="n">
        <v>80000</v>
      </c>
      <c r="I12" s="6" t="n">
        <v>80000</v>
      </c>
      <c r="J12" s="6" t="n">
        <v>80000</v>
      </c>
      <c r="K12" s="6" t="n">
        <v>80000</v>
      </c>
      <c r="L12" s="6" t="n">
        <v>80000</v>
      </c>
      <c r="M12" s="6" t="n">
        <v>80000</v>
      </c>
      <c r="N12" s="6" t="n">
        <v>80000</v>
      </c>
    </row>
    <row r="13">
      <c r="A13" t="n">
        <v>26</v>
      </c>
      <c r="B13" t="inlineStr">
        <is>
          <t>Non-quantitative Benefits</t>
        </is>
      </c>
      <c r="D13" t="inlineStr">
        <is>
          <t>Standardisierung; Sicherheit; Wiederverwendung.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BC-2026-0533.1</t>
        </is>
      </c>
    </row>
    <row r="15">
      <c r="A15" t="n">
        <v>32</v>
      </c>
      <c r="B15" t="inlineStr">
        <is>
          <t>Start FY</t>
        </is>
      </c>
      <c r="D15" t="n">
        <v>2026</v>
      </c>
    </row>
    <row r="16">
      <c r="A16" t="n">
        <v>33</v>
      </c>
      <c r="B16" t="inlineStr">
        <is>
          <t>Go-Live FY</t>
        </is>
      </c>
      <c r="D16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NEXUS – API-Management-Plattform</t>
        </is>
      </c>
    </row>
    <row r="2">
      <c r="A2" s="11" t="inlineStr">
        <is>
          <t>Project Number</t>
        </is>
      </c>
      <c r="B2" s="12" t="inlineStr">
        <is>
          <t>BC-2026-0533.1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Corporate IT – Architecture</t>
        </is>
      </c>
    </row>
    <row r="5">
      <c r="A5" s="11" t="inlineStr">
        <is>
          <t>Project Sponsor</t>
        </is>
      </c>
      <c r="B5" s="12" t="inlineStr">
        <is>
          <t>Thomas Riedl (CIO)</t>
        </is>
      </c>
    </row>
    <row r="6">
      <c r="A6" s="11" t="inlineStr">
        <is>
          <t>Project Manager</t>
        </is>
      </c>
      <c r="B6" s="12" t="inlineStr">
        <is>
          <t>Priya Nair (Enterprise Architect)</t>
        </is>
      </c>
    </row>
    <row r="7">
      <c r="A7" s="11" t="inlineStr">
        <is>
          <t>Lead - Affected Countries</t>
        </is>
      </c>
      <c r="B7" s="12" t="inlineStr">
        <is>
          <t>CORP</t>
        </is>
      </c>
    </row>
    <row r="8">
      <c r="A8" s="11" t="inlineStr">
        <is>
          <t>Description</t>
        </is>
      </c>
      <c r="B8" s="12" t="inlineStr">
        <is>
          <t>Einführung eines zentralen API-Gateways mit Developer-Portal, um Punkt-zu-Punkt-Schnittstellen zwischen ERP, WMS, CRM und Kundenportal abzulösen. Enthält API-Standards, Security-Policies und ein Lifecycle-Modell.</t>
        </is>
      </c>
    </row>
    <row r="9">
      <c r="A9" s="11" t="inlineStr">
        <is>
          <t>Objective (OKR/VCP)</t>
        </is>
      </c>
      <c r="B9" s="12" t="inlineStr">
        <is>
          <t>OBJ-420 – Integrationsplattform statt Spaghetti-Schnittstellen.</t>
        </is>
      </c>
    </row>
    <row r="10">
      <c r="A10" s="11" t="inlineStr">
        <is>
          <t>Metrics</t>
        </is>
      </c>
      <c r="B10" s="12" t="inlineStr">
        <is>
          <t>Anzahl Punkt-zu-Punkt-Schnittstellen von 340 auf 120; Time-to-integrate für neue Systeme &lt; 4 Wochen; 100 % der externen APIs mit OAuth2</t>
        </is>
      </c>
    </row>
    <row r="11">
      <c r="A11" s="11" t="inlineStr">
        <is>
          <t>Planned Deliverables</t>
        </is>
      </c>
      <c r="B11" s="12" t="inlineStr">
        <is>
          <t>Gateway-Setup und Betriebsmodell; Migration der 25 kritischsten Schnittstellen; Developer-Portal mit Katalog</t>
        </is>
      </c>
    </row>
    <row r="12">
      <c r="A12" s="11" t="inlineStr">
        <is>
          <t>Business Processes affected</t>
        </is>
      </c>
      <c r="B12" s="12" t="inlineStr">
        <is>
          <t>Order-to-Cash (Portal → ERP → WMS), Lieferanten-EDI, Kundenstammdaten-Sync.</t>
        </is>
      </c>
    </row>
    <row r="13">
      <c r="A13" s="11" t="inlineStr">
        <is>
          <t>Organisational Units affected</t>
        </is>
      </c>
      <c r="B13" s="12" t="inlineStr">
        <is>
          <t>Enterprise Architecture, Integration Team, Sparten-IT Retail und Logistics.</t>
        </is>
      </c>
    </row>
    <row r="14">
      <c r="A14" s="11" t="inlineStr">
        <is>
          <t>Technical Dependencies</t>
        </is>
      </c>
      <c r="B14" s="12" t="inlineStr">
        <is>
          <t>Voraussetzung für HALO und RELAY; benötigt KEYSTONE für API-Authentifizierung.</t>
        </is>
      </c>
    </row>
    <row r="15">
      <c r="A15" s="11" t="inlineStr">
        <is>
          <t>Organisational Dependencies</t>
        </is>
      </c>
      <c r="B15" s="12" t="inlineStr">
        <is>
          <t>Verbindlichkeit der API-Standards muss vom Architecture Board beschlossen werden.</t>
        </is>
      </c>
    </row>
    <row r="16">
      <c r="A16" s="11" t="inlineStr">
        <is>
          <t>Risks</t>
        </is>
      </c>
      <c r="B16" s="12" t="inlineStr">
        <is>
          <t>Sparten bauen weiter an der Plattform vorbei; Unterschätzter Migrationsaufwand Altschnittstellen</t>
        </is>
      </c>
    </row>
    <row r="17">
      <c r="A17" s="11" t="inlineStr">
        <is>
          <t>Justification</t>
        </is>
      </c>
      <c r="B17" s="12" t="inlineStr">
        <is>
          <t>Jede neue Anwendung kostet heute 6–10 Wochen Integrationsaufwand. Die Plattform ist Grundlage für Portal, EDI und Datenprojekte.</t>
        </is>
      </c>
    </row>
    <row r="18">
      <c r="A18" s="11" t="inlineStr">
        <is>
          <t>Vendor / Product Information</t>
        </is>
      </c>
      <c r="B18" s="12" t="inlineStr">
        <is>
          <t>Kong Enterprise oder Azure API Management (Entscheidung Q2/2026).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