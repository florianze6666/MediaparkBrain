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au\Downloads\KI Hackathon Projektunterlagen_SYNTHETISCHE_TESTDATEN\"/>
    </mc:Choice>
  </mc:AlternateContent>
  <xr:revisionPtr revIDLastSave="0" documentId="8_{D89E286D-1E80-48C7-889A-2B047CB34C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lection lists" sheetId="1" r:id="rId1"/>
    <sheet name="Upload" sheetId="2" r:id="rId2"/>
    <sheet name="Summary" sheetId="3" r:id="rId3"/>
    <sheet name="Costs &amp; Benefits" sheetId="4" r:id="rId4"/>
    <sheet name="Project Description" sheetId="5" r:id="rId5"/>
    <sheet name="Project Cost Description" sheetId="6" r:id="rId6"/>
    <sheet name="Benefit Calculation" sheetId="7" r:id="rId7"/>
    <sheet name="List of Demands" sheetId="9" r:id="rId8"/>
    <sheet name="Demand N°1 Benefit" sheetId="10" r:id="rId9"/>
    <sheet name="Demand N°2 Benefit" sheetId="11" r:id="rId10"/>
    <sheet name="Definition_Service Categories" sheetId="8" r:id="rId11"/>
  </sheets>
  <definedNames>
    <definedName name="Z_039C10A7_36AD_4324_B6E0_581E562E0A5E_.wvu.FilterData" localSheetId="0" hidden="1">'Selection lists'!$A$1:$C$45</definedName>
    <definedName name="Z_039C10A7_36AD_4324_B6E0_581E562E0A5E_.wvu.PrintArea" localSheetId="3" hidden="1">'Costs &amp; Benefits'!$D$1:$U$147</definedName>
    <definedName name="Z_039C10A7_36AD_4324_B6E0_581E562E0A5E_.wvu.PrintArea" localSheetId="2" hidden="1">Summary!$C$5:$S$45</definedName>
    <definedName name="Z_039C10A7_36AD_4324_B6E0_581E562E0A5E_.wvu.PrintArea" localSheetId="1" hidden="1">Upload!$B$1:$P$34</definedName>
    <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7" i="4" l="1"/>
  <c r="R127" i="4"/>
  <c r="J127" i="4"/>
  <c r="P125" i="4"/>
  <c r="O29" i="3" s="1"/>
  <c r="L125" i="4"/>
  <c r="K29" i="3" s="1"/>
  <c r="R119" i="4"/>
  <c r="Q119" i="4"/>
  <c r="Q127" i="4" s="1"/>
  <c r="N119" i="4"/>
  <c r="N127" i="4" s="1"/>
  <c r="M119" i="4"/>
  <c r="M127" i="4" s="1"/>
  <c r="J119" i="4"/>
  <c r="S113" i="4"/>
  <c r="R21" i="3" s="1"/>
  <c r="R113" i="4"/>
  <c r="Q113" i="4"/>
  <c r="P113" i="4"/>
  <c r="O113" i="4"/>
  <c r="N21" i="3" s="1"/>
  <c r="N113" i="4"/>
  <c r="M113" i="4"/>
  <c r="L113" i="4"/>
  <c r="K113" i="4"/>
  <c r="J21" i="3" s="1"/>
  <c r="J113" i="4"/>
  <c r="J103" i="4"/>
  <c r="J124" i="4" s="1"/>
  <c r="J140" i="4" s="1"/>
  <c r="S101" i="4"/>
  <c r="S119" i="4" s="1"/>
  <c r="R101" i="4"/>
  <c r="Q101" i="4"/>
  <c r="P101" i="4"/>
  <c r="P119" i="4" s="1"/>
  <c r="P127" i="4" s="1"/>
  <c r="O101" i="4"/>
  <c r="O119" i="4" s="1"/>
  <c r="O127" i="4" s="1"/>
  <c r="N101" i="4"/>
  <c r="M101" i="4"/>
  <c r="L101" i="4"/>
  <c r="K101" i="4"/>
  <c r="K119" i="4" s="1"/>
  <c r="K127" i="4" s="1"/>
  <c r="J101" i="4"/>
  <c r="J91" i="4"/>
  <c r="S50" i="4"/>
  <c r="S125" i="4" s="1"/>
  <c r="R50" i="4"/>
  <c r="R125" i="4" s="1"/>
  <c r="Q50" i="4"/>
  <c r="Q125" i="4" s="1"/>
  <c r="P29" i="3" s="1"/>
  <c r="P50" i="4"/>
  <c r="O50" i="4"/>
  <c r="O125" i="4" s="1"/>
  <c r="N29" i="3" s="1"/>
  <c r="N50" i="4"/>
  <c r="N125" i="4" s="1"/>
  <c r="M29" i="3" s="1"/>
  <c r="M50" i="4"/>
  <c r="L50" i="4"/>
  <c r="K50" i="4"/>
  <c r="K125" i="4" s="1"/>
  <c r="J50" i="4"/>
  <c r="J125" i="4" s="1"/>
  <c r="L31" i="4"/>
  <c r="K31" i="4"/>
  <c r="S26" i="4"/>
  <c r="S147" i="4" s="1"/>
  <c r="R26" i="4"/>
  <c r="Q26" i="4"/>
  <c r="P26" i="4"/>
  <c r="O26" i="4"/>
  <c r="O147" i="4" s="1"/>
  <c r="N26" i="4"/>
  <c r="M26" i="4"/>
  <c r="L26" i="4"/>
  <c r="K26" i="4"/>
  <c r="K147" i="4" s="1"/>
  <c r="J26" i="4"/>
  <c r="J16" i="4"/>
  <c r="Q11" i="4"/>
  <c r="L11" i="4"/>
  <c r="Q10" i="4"/>
  <c r="L10" i="4"/>
  <c r="Q9" i="4"/>
  <c r="L9" i="4"/>
  <c r="Q8" i="4"/>
  <c r="L8" i="4"/>
  <c r="Q7" i="4"/>
  <c r="L7" i="4"/>
  <c r="J2" i="4"/>
  <c r="L44" i="3"/>
  <c r="J44" i="3"/>
  <c r="R29" i="3"/>
  <c r="Q29" i="3"/>
  <c r="J29" i="3"/>
  <c r="I29" i="3"/>
  <c r="R27" i="3"/>
  <c r="Q27" i="3"/>
  <c r="P27" i="3"/>
  <c r="O27" i="3"/>
  <c r="N27" i="3"/>
  <c r="M27" i="3"/>
  <c r="L27" i="3"/>
  <c r="K27" i="3"/>
  <c r="J27" i="3"/>
  <c r="I27" i="3"/>
  <c r="Q22" i="3"/>
  <c r="P22" i="3"/>
  <c r="I22" i="3"/>
  <c r="Q21" i="3"/>
  <c r="P21" i="3"/>
  <c r="O21" i="3"/>
  <c r="M21" i="3"/>
  <c r="M22" i="3" s="1"/>
  <c r="L21" i="3"/>
  <c r="L22" i="3" s="1"/>
  <c r="K21" i="3"/>
  <c r="I21" i="3"/>
  <c r="R20" i="3"/>
  <c r="R22" i="3" s="1"/>
  <c r="Q20" i="3"/>
  <c r="P20" i="3"/>
  <c r="O20" i="3"/>
  <c r="O22" i="3" s="1"/>
  <c r="M20" i="3"/>
  <c r="L20" i="3"/>
  <c r="I20" i="3"/>
  <c r="R17" i="3"/>
  <c r="Q17" i="3"/>
  <c r="O17" i="3"/>
  <c r="N17" i="3"/>
  <c r="K17" i="3"/>
  <c r="J17" i="3"/>
  <c r="I17" i="3"/>
  <c r="R15" i="3"/>
  <c r="Q15" i="3"/>
  <c r="P15" i="3"/>
  <c r="O15" i="3"/>
  <c r="N15" i="3"/>
  <c r="M15" i="3"/>
  <c r="L15" i="3"/>
  <c r="K15" i="3"/>
  <c r="J15" i="3"/>
  <c r="I15" i="3"/>
  <c r="J2" i="3"/>
  <c r="D33" i="2"/>
  <c r="D32" i="2"/>
  <c r="N29" i="2"/>
  <c r="M29" i="2"/>
  <c r="L29" i="2"/>
  <c r="K29" i="2"/>
  <c r="J29" i="2"/>
  <c r="I29" i="2"/>
  <c r="H29" i="2"/>
  <c r="G29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N2" i="2"/>
  <c r="M2" i="2"/>
  <c r="L2" i="2"/>
  <c r="K2" i="2"/>
  <c r="J2" i="2"/>
  <c r="I2" i="2"/>
  <c r="H2" i="2"/>
  <c r="G2" i="2"/>
  <c r="F2" i="2"/>
  <c r="E2" i="2"/>
  <c r="D2" i="2"/>
  <c r="C2" i="2"/>
  <c r="F1" i="2"/>
  <c r="E1" i="2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3" i="1"/>
  <c r="S17" i="3" l="1"/>
  <c r="S21" i="3"/>
  <c r="M125" i="4"/>
  <c r="L17" i="3"/>
  <c r="P17" i="3"/>
  <c r="J20" i="3"/>
  <c r="L147" i="4"/>
  <c r="K103" i="4"/>
  <c r="K124" i="4" s="1"/>
  <c r="K140" i="4" s="1"/>
  <c r="K91" i="4"/>
  <c r="K16" i="4"/>
  <c r="K53" i="4" s="1"/>
  <c r="M147" i="4"/>
  <c r="L103" i="4"/>
  <c r="L124" i="4" s="1"/>
  <c r="L140" i="4" s="1"/>
  <c r="M31" i="4"/>
  <c r="L91" i="4"/>
  <c r="L16" i="4"/>
  <c r="L53" i="4" s="1"/>
  <c r="G1" i="2"/>
  <c r="I127" i="4"/>
  <c r="I31" i="3"/>
  <c r="S31" i="3" s="1"/>
  <c r="P147" i="4"/>
  <c r="L119" i="4"/>
  <c r="L127" i="4" s="1"/>
  <c r="K20" i="3"/>
  <c r="K22" i="3" s="1"/>
  <c r="J53" i="4"/>
  <c r="G55" i="4"/>
  <c r="N20" i="3"/>
  <c r="N22" i="3" s="1"/>
  <c r="N147" i="4"/>
  <c r="M17" i="3"/>
  <c r="Q147" i="4"/>
  <c r="J147" i="4"/>
  <c r="R147" i="4"/>
  <c r="G58" i="4" l="1"/>
  <c r="J54" i="4"/>
  <c r="G54" i="4"/>
  <c r="S20" i="3"/>
  <c r="J22" i="3"/>
  <c r="L60" i="4"/>
  <c r="G64" i="4"/>
  <c r="G60" i="4"/>
  <c r="I147" i="4"/>
  <c r="T147" i="4" s="1"/>
  <c r="I125" i="4"/>
  <c r="L29" i="3"/>
  <c r="S29" i="3" s="1"/>
  <c r="G61" i="4"/>
  <c r="K57" i="4"/>
  <c r="G57" i="4"/>
  <c r="N31" i="4"/>
  <c r="M16" i="4"/>
  <c r="M53" i="4" s="1"/>
  <c r="H1" i="2"/>
  <c r="M103" i="4"/>
  <c r="M124" i="4" s="1"/>
  <c r="M140" i="4" s="1"/>
  <c r="M91" i="4"/>
  <c r="L61" i="4" l="1"/>
  <c r="L62" i="4" s="1"/>
  <c r="G67" i="4"/>
  <c r="M63" i="4"/>
  <c r="G63" i="4"/>
  <c r="N103" i="4"/>
  <c r="N124" i="4" s="1"/>
  <c r="N140" i="4" s="1"/>
  <c r="N16" i="4"/>
  <c r="N53" i="4" s="1"/>
  <c r="O31" i="4"/>
  <c r="N91" i="4"/>
  <c r="I1" i="2"/>
  <c r="S22" i="3"/>
  <c r="I50" i="3" s="1"/>
  <c r="J56" i="4"/>
  <c r="J55" i="4"/>
  <c r="J84" i="4" s="1"/>
  <c r="K55" i="4"/>
  <c r="K84" i="4" s="1"/>
  <c r="K58" i="4"/>
  <c r="K59" i="4"/>
  <c r="L58" i="4"/>
  <c r="M61" i="4" l="1"/>
  <c r="M62" i="4" s="1"/>
  <c r="O91" i="4"/>
  <c r="O103" i="4"/>
  <c r="O124" i="4" s="1"/>
  <c r="O140" i="4" s="1"/>
  <c r="P31" i="4"/>
  <c r="O16" i="4"/>
  <c r="O53" i="4" s="1"/>
  <c r="J1" i="2"/>
  <c r="G70" i="4"/>
  <c r="N66" i="4"/>
  <c r="G66" i="4"/>
  <c r="L59" i="4"/>
  <c r="K56" i="4"/>
  <c r="J131" i="4"/>
  <c r="M64" i="4"/>
  <c r="M65" i="4" s="1"/>
  <c r="J86" i="4"/>
  <c r="J126" i="4"/>
  <c r="I18" i="3"/>
  <c r="K126" i="4"/>
  <c r="J18" i="3"/>
  <c r="J19" i="3" s="1"/>
  <c r="J24" i="3" s="1"/>
  <c r="K86" i="4"/>
  <c r="N64" i="4" l="1"/>
  <c r="N65" i="4" s="1"/>
  <c r="N61" i="4"/>
  <c r="N62" i="4" s="1"/>
  <c r="I19" i="3"/>
  <c r="I30" i="3"/>
  <c r="J128" i="4"/>
  <c r="P91" i="4"/>
  <c r="P16" i="4"/>
  <c r="P53" i="4" s="1"/>
  <c r="P103" i="4"/>
  <c r="P124" i="4" s="1"/>
  <c r="P140" i="4" s="1"/>
  <c r="Q31" i="4"/>
  <c r="K1" i="2"/>
  <c r="K131" i="4"/>
  <c r="L56" i="4"/>
  <c r="L55" i="4"/>
  <c r="L84" i="4" s="1"/>
  <c r="M58" i="4"/>
  <c r="M59" i="4" s="1"/>
  <c r="G73" i="4"/>
  <c r="O69" i="4"/>
  <c r="G69" i="4"/>
  <c r="I35" i="3"/>
  <c r="J132" i="4"/>
  <c r="J30" i="3"/>
  <c r="K128" i="4"/>
  <c r="N68" i="4"/>
  <c r="N67" i="4"/>
  <c r="N58" i="4" l="1"/>
  <c r="N59" i="4" s="1"/>
  <c r="O61" i="4"/>
  <c r="O62" i="4" s="1"/>
  <c r="O65" i="4"/>
  <c r="O64" i="4"/>
  <c r="J35" i="3"/>
  <c r="K132" i="4"/>
  <c r="J36" i="3" s="1"/>
  <c r="I24" i="3"/>
  <c r="O70" i="4"/>
  <c r="O71" i="4" s="1"/>
  <c r="K129" i="4"/>
  <c r="J32" i="3"/>
  <c r="F28" i="2" s="1"/>
  <c r="P72" i="4"/>
  <c r="G76" i="4"/>
  <c r="G72" i="4"/>
  <c r="Q16" i="4"/>
  <c r="Q53" i="4" s="1"/>
  <c r="L1" i="2"/>
  <c r="R31" i="4"/>
  <c r="Q103" i="4"/>
  <c r="Q124" i="4" s="1"/>
  <c r="Q140" i="4" s="1"/>
  <c r="Q91" i="4"/>
  <c r="L131" i="4"/>
  <c r="M56" i="4"/>
  <c r="M55" i="4"/>
  <c r="M84" i="4" s="1"/>
  <c r="O67" i="4"/>
  <c r="O68" i="4" s="1"/>
  <c r="I36" i="3"/>
  <c r="L126" i="4"/>
  <c r="K18" i="3"/>
  <c r="L86" i="4"/>
  <c r="J129" i="4"/>
  <c r="J130" i="4" s="1"/>
  <c r="I32" i="3"/>
  <c r="P70" i="4" l="1"/>
  <c r="P71" i="4" s="1"/>
  <c r="P67" i="4"/>
  <c r="P68" i="4" s="1"/>
  <c r="J133" i="4"/>
  <c r="I34" i="3"/>
  <c r="P62" i="4"/>
  <c r="P61" i="4"/>
  <c r="O58" i="4"/>
  <c r="O59" i="4" s="1"/>
  <c r="K35" i="3"/>
  <c r="L132" i="4"/>
  <c r="K36" i="3" s="1"/>
  <c r="P73" i="4"/>
  <c r="P74" i="4"/>
  <c r="M131" i="4"/>
  <c r="N55" i="4"/>
  <c r="N84" i="4" s="1"/>
  <c r="K30" i="3"/>
  <c r="L128" i="4"/>
  <c r="J33" i="3"/>
  <c r="K138" i="4"/>
  <c r="R91" i="4"/>
  <c r="S31" i="4"/>
  <c r="M1" i="2"/>
  <c r="R16" i="4"/>
  <c r="R53" i="4" s="1"/>
  <c r="R103" i="4"/>
  <c r="R124" i="4" s="1"/>
  <c r="R140" i="4" s="1"/>
  <c r="K130" i="4"/>
  <c r="K19" i="3"/>
  <c r="P64" i="4"/>
  <c r="P65" i="4" s="1"/>
  <c r="G79" i="4"/>
  <c r="Q75" i="4"/>
  <c r="G75" i="4"/>
  <c r="E28" i="2"/>
  <c r="I33" i="3"/>
  <c r="J138" i="4"/>
  <c r="M86" i="4"/>
  <c r="L18" i="3"/>
  <c r="L19" i="3" s="1"/>
  <c r="L24" i="3" s="1"/>
  <c r="M126" i="4"/>
  <c r="P58" i="4" l="1"/>
  <c r="P59" i="4" s="1"/>
  <c r="Q68" i="4"/>
  <c r="Q67" i="4"/>
  <c r="Q64" i="4"/>
  <c r="Q65" i="4" s="1"/>
  <c r="Q71" i="4"/>
  <c r="Q70" i="4"/>
  <c r="J139" i="4"/>
  <c r="N86" i="4"/>
  <c r="M18" i="3"/>
  <c r="N126" i="4"/>
  <c r="S103" i="4"/>
  <c r="S124" i="4" s="1"/>
  <c r="S140" i="4" s="1"/>
  <c r="S91" i="4"/>
  <c r="S16" i="4"/>
  <c r="S53" i="4" s="1"/>
  <c r="N1" i="2"/>
  <c r="N56" i="4"/>
  <c r="J135" i="4"/>
  <c r="I37" i="3"/>
  <c r="K24" i="3"/>
  <c r="M132" i="4"/>
  <c r="L35" i="3"/>
  <c r="L30" i="3"/>
  <c r="M128" i="4"/>
  <c r="K133" i="4"/>
  <c r="J34" i="3"/>
  <c r="Q76" i="4"/>
  <c r="Q77" i="4" s="1"/>
  <c r="Q73" i="4"/>
  <c r="Q74" i="4" s="1"/>
  <c r="G82" i="4"/>
  <c r="R78" i="4"/>
  <c r="G78" i="4"/>
  <c r="L130" i="4"/>
  <c r="K32" i="3"/>
  <c r="L129" i="4"/>
  <c r="Q61" i="4"/>
  <c r="Q62" i="4" s="1"/>
  <c r="R64" i="4" l="1"/>
  <c r="R65" i="4" s="1"/>
  <c r="R74" i="4"/>
  <c r="R73" i="4"/>
  <c r="R61" i="4"/>
  <c r="R62" i="4" s="1"/>
  <c r="R76" i="4"/>
  <c r="R77" i="4" s="1"/>
  <c r="Q58" i="4"/>
  <c r="Q59" i="4" s="1"/>
  <c r="K34" i="3"/>
  <c r="L133" i="4"/>
  <c r="S81" i="4"/>
  <c r="G81" i="4"/>
  <c r="R68" i="4"/>
  <c r="R67" i="4"/>
  <c r="M30" i="3"/>
  <c r="N128" i="4"/>
  <c r="K33" i="3"/>
  <c r="L138" i="4"/>
  <c r="N131" i="4"/>
  <c r="O55" i="4"/>
  <c r="O84" i="4" s="1"/>
  <c r="M19" i="3"/>
  <c r="G28" i="2"/>
  <c r="K139" i="4"/>
  <c r="R79" i="4"/>
  <c r="R80" i="4" s="1"/>
  <c r="L36" i="3"/>
  <c r="K135" i="4"/>
  <c r="J39" i="3" s="1"/>
  <c r="J37" i="3"/>
  <c r="L32" i="3"/>
  <c r="H28" i="2" s="1"/>
  <c r="M129" i="4"/>
  <c r="M130" i="4"/>
  <c r="I39" i="3"/>
  <c r="J136" i="4"/>
  <c r="R70" i="4"/>
  <c r="R71" i="4" s="1"/>
  <c r="S79" i="4" l="1"/>
  <c r="S80" i="4" s="1"/>
  <c r="R58" i="4"/>
  <c r="R59" i="4" s="1"/>
  <c r="S62" i="4"/>
  <c r="S61" i="4"/>
  <c r="S76" i="4"/>
  <c r="S77" i="4" s="1"/>
  <c r="S70" i="4"/>
  <c r="S71" i="4" s="1"/>
  <c r="S64" i="4"/>
  <c r="S65" i="4" s="1"/>
  <c r="K136" i="4"/>
  <c r="I41" i="3"/>
  <c r="E29" i="2" s="1"/>
  <c r="S82" i="4"/>
  <c r="S83" i="4" s="1"/>
  <c r="L139" i="4"/>
  <c r="K37" i="3"/>
  <c r="L135" i="4"/>
  <c r="K39" i="3" s="1"/>
  <c r="M133" i="4"/>
  <c r="L34" i="3"/>
  <c r="N129" i="4"/>
  <c r="N130" i="4" s="1"/>
  <c r="M32" i="3"/>
  <c r="S74" i="4"/>
  <c r="S73" i="4"/>
  <c r="O126" i="4"/>
  <c r="N18" i="3"/>
  <c r="O86" i="4"/>
  <c r="N132" i="4"/>
  <c r="M35" i="3"/>
  <c r="S67" i="4"/>
  <c r="S68" i="4" s="1"/>
  <c r="L33" i="3"/>
  <c r="M138" i="4"/>
  <c r="M24" i="3"/>
  <c r="K141" i="4"/>
  <c r="O56" i="4"/>
  <c r="M34" i="3" l="1"/>
  <c r="N133" i="4"/>
  <c r="S58" i="4"/>
  <c r="S59" i="4" s="1"/>
  <c r="I28" i="2"/>
  <c r="M36" i="3"/>
  <c r="L136" i="4"/>
  <c r="M136" i="4" s="1"/>
  <c r="J41" i="3"/>
  <c r="F29" i="2" s="1"/>
  <c r="M139" i="4"/>
  <c r="M141" i="4"/>
  <c r="N19" i="3"/>
  <c r="L37" i="3"/>
  <c r="M135" i="4"/>
  <c r="L141" i="4"/>
  <c r="M33" i="3"/>
  <c r="N138" i="4"/>
  <c r="N30" i="3"/>
  <c r="O128" i="4"/>
  <c r="O131" i="4"/>
  <c r="P55" i="4"/>
  <c r="P84" i="4" s="1"/>
  <c r="P126" i="4" l="1"/>
  <c r="O18" i="3"/>
  <c r="P86" i="4"/>
  <c r="N139" i="4"/>
  <c r="N141" i="4"/>
  <c r="L39" i="3"/>
  <c r="N24" i="3"/>
  <c r="N35" i="3"/>
  <c r="O132" i="4"/>
  <c r="N135" i="4"/>
  <c r="M39" i="3" s="1"/>
  <c r="M37" i="3"/>
  <c r="P56" i="4"/>
  <c r="O129" i="4"/>
  <c r="O130" i="4"/>
  <c r="N32" i="3"/>
  <c r="N136" i="4" l="1"/>
  <c r="O141" i="4"/>
  <c r="O133" i="4"/>
  <c r="N34" i="3"/>
  <c r="J28" i="2"/>
  <c r="O19" i="3"/>
  <c r="N36" i="3"/>
  <c r="O138" i="4"/>
  <c r="O139" i="4" s="1"/>
  <c r="N33" i="3"/>
  <c r="P131" i="4"/>
  <c r="Q55" i="4"/>
  <c r="Q84" i="4" s="1"/>
  <c r="O30" i="3"/>
  <c r="P128" i="4"/>
  <c r="P141" i="4" l="1"/>
  <c r="O135" i="4"/>
  <c r="N37" i="3"/>
  <c r="Q86" i="4"/>
  <c r="Q126" i="4"/>
  <c r="P18" i="3"/>
  <c r="P19" i="3" s="1"/>
  <c r="P24" i="3" s="1"/>
  <c r="O32" i="3"/>
  <c r="P129" i="4"/>
  <c r="Q56" i="4"/>
  <c r="O24" i="3"/>
  <c r="P132" i="4"/>
  <c r="O36" i="3" s="1"/>
  <c r="O35" i="3"/>
  <c r="P30" i="3" l="1"/>
  <c r="Q128" i="4"/>
  <c r="Q131" i="4"/>
  <c r="R55" i="4"/>
  <c r="R84" i="4" s="1"/>
  <c r="O33" i="3"/>
  <c r="P138" i="4"/>
  <c r="P139" i="4" s="1"/>
  <c r="K28" i="2"/>
  <c r="N39" i="3"/>
  <c r="P130" i="4"/>
  <c r="O136" i="4"/>
  <c r="Q141" i="4" l="1"/>
  <c r="O34" i="3"/>
  <c r="P133" i="4"/>
  <c r="R56" i="4"/>
  <c r="Q132" i="4"/>
  <c r="P36" i="3" s="1"/>
  <c r="P35" i="3"/>
  <c r="Q129" i="4"/>
  <c r="P32" i="3"/>
  <c r="L28" i="2" s="1"/>
  <c r="R86" i="4"/>
  <c r="R126" i="4"/>
  <c r="Q18" i="3"/>
  <c r="Q19" i="3" s="1"/>
  <c r="Q24" i="3" s="1"/>
  <c r="P33" i="3" l="1"/>
  <c r="Q138" i="4"/>
  <c r="Q139" i="4" s="1"/>
  <c r="R131" i="4"/>
  <c r="S55" i="4"/>
  <c r="S84" i="4" s="1"/>
  <c r="P135" i="4"/>
  <c r="O37" i="3"/>
  <c r="Q130" i="4"/>
  <c r="Q30" i="3"/>
  <c r="R128" i="4"/>
  <c r="Q35" i="3" l="1"/>
  <c r="R132" i="4"/>
  <c r="Q36" i="3" s="1"/>
  <c r="O39" i="3"/>
  <c r="P136" i="4"/>
  <c r="S126" i="4"/>
  <c r="R18" i="3"/>
  <c r="S86" i="4"/>
  <c r="R129" i="4"/>
  <c r="Q32" i="3"/>
  <c r="M28" i="2" s="1"/>
  <c r="R130" i="4"/>
  <c r="S56" i="4"/>
  <c r="S131" i="4" s="1"/>
  <c r="R141" i="4"/>
  <c r="Q133" i="4"/>
  <c r="P34" i="3"/>
  <c r="R19" i="3" l="1"/>
  <c r="S18" i="3"/>
  <c r="R35" i="3"/>
  <c r="S35" i="3" s="1"/>
  <c r="S132" i="4"/>
  <c r="I131" i="4"/>
  <c r="R133" i="4"/>
  <c r="Q34" i="3"/>
  <c r="Q136" i="4"/>
  <c r="P37" i="3"/>
  <c r="Q135" i="4"/>
  <c r="P39" i="3" s="1"/>
  <c r="R30" i="3"/>
  <c r="S30" i="3" s="1"/>
  <c r="S128" i="4"/>
  <c r="I126" i="4"/>
  <c r="Q33" i="3"/>
  <c r="R138" i="4"/>
  <c r="R139" i="4" s="1"/>
  <c r="R135" i="4" l="1"/>
  <c r="Q39" i="3" s="1"/>
  <c r="Q37" i="3"/>
  <c r="R136" i="4"/>
  <c r="S141" i="4"/>
  <c r="S129" i="4"/>
  <c r="R32" i="3"/>
  <c r="I128" i="4"/>
  <c r="R36" i="3"/>
  <c r="S36" i="3" s="1"/>
  <c r="I132" i="4"/>
  <c r="R24" i="3"/>
  <c r="S24" i="3" s="1"/>
  <c r="I51" i="3" s="1"/>
  <c r="S19" i="3"/>
  <c r="I49" i="3" s="1"/>
  <c r="N28" i="2" l="1"/>
  <c r="S32" i="3"/>
  <c r="R33" i="3"/>
  <c r="S33" i="3" s="1"/>
  <c r="S138" i="4"/>
  <c r="I129" i="4"/>
  <c r="S130" i="4"/>
  <c r="S133" i="4" l="1"/>
  <c r="R34" i="3"/>
  <c r="S34" i="3" s="1"/>
  <c r="I130" i="4"/>
  <c r="I138" i="4"/>
  <c r="I139" i="4" s="1"/>
  <c r="J141" i="4" s="1"/>
  <c r="I141" i="4" s="1"/>
  <c r="S139" i="4"/>
  <c r="I142" i="4" l="1"/>
  <c r="D31" i="2"/>
  <c r="S135" i="4"/>
  <c r="R37" i="3"/>
  <c r="S37" i="3" s="1"/>
  <c r="I133" i="4"/>
  <c r="I146" i="4" l="1"/>
  <c r="I145" i="4"/>
  <c r="I54" i="3"/>
  <c r="R39" i="3"/>
  <c r="S39" i="3" s="1"/>
  <c r="I52" i="3" s="1"/>
  <c r="I135" i="4"/>
  <c r="I136" i="4" s="1"/>
  <c r="S41" i="3" s="1"/>
  <c r="I53" i="3" s="1"/>
  <c r="D30" i="2" s="1"/>
  <c r="S136" i="4"/>
</calcChain>
</file>

<file path=xl/sharedStrings.xml><?xml version="1.0" encoding="utf-8"?>
<sst xmlns="http://schemas.openxmlformats.org/spreadsheetml/2006/main" count="329" uniqueCount="241">
  <si>
    <t>Tax rate</t>
  </si>
  <si>
    <t>WACC (EUR)</t>
  </si>
  <si>
    <t>Fiscal Year</t>
  </si>
  <si>
    <t>Austria</t>
  </si>
  <si>
    <t>Belgium</t>
  </si>
  <si>
    <t>Bulgaria</t>
  </si>
  <si>
    <t>China</t>
  </si>
  <si>
    <t>Croatia</t>
  </si>
  <si>
    <t>Czech Republic</t>
  </si>
  <si>
    <t>Denmark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</si>
  <si>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</si>
  <si>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</si>
  <si>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</si>
  <si>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</si>
  <si>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</si>
  <si>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</si>
  <si>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</si>
  <si>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</si>
  <si>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Italy</t>
  </si>
  <si>
    <t>Japan</t>
  </si>
  <si>
    <t>Kazakhstan</t>
  </si>
  <si>
    <t>Luxemburg</t>
  </si>
  <si>
    <t>Malaysia</t>
  </si>
  <si>
    <t>Moldova</t>
  </si>
  <si>
    <t>Netherlands</t>
  </si>
  <si>
    <t>Pakistan</t>
  </si>
  <si>
    <t>Philippines</t>
  </si>
  <si>
    <t>Poland</t>
  </si>
  <si>
    <t>Portugal</t>
  </si>
  <si>
    <t>Romania</t>
  </si>
  <si>
    <t>Russia</t>
  </si>
  <si>
    <t>Serbia</t>
  </si>
  <si>
    <t>Singapore</t>
  </si>
  <si>
    <t xml:space="preserve">Slovakia </t>
  </si>
  <si>
    <t>Spain</t>
  </si>
  <si>
    <t xml:space="preserve">Switzerland </t>
  </si>
  <si>
    <t>Thailand</t>
  </si>
  <si>
    <t>Turkey</t>
  </si>
  <si>
    <t>Ukraine</t>
  </si>
  <si>
    <t>Vietnam</t>
  </si>
  <si>
    <t>Fiscal year</t>
  </si>
  <si>
    <t>Type of Cash Out</t>
  </si>
  <si>
    <t>Short Description</t>
  </si>
  <si>
    <t>SC 70 - Project Capitalizable (intern)</t>
  </si>
  <si>
    <t>SC 70 - Project Capitalizable (extern)</t>
  </si>
  <si>
    <t>SC 90 - Software Licenses (intern)</t>
  </si>
  <si>
    <t>Local IT/IM Investments (extern)</t>
  </si>
  <si>
    <t>SC 10 - Project Non Capitalizable (intern)</t>
  </si>
  <si>
    <t>SC 10 - Project Non Capitalizable (extern)</t>
  </si>
  <si>
    <t>SC 30 - Maint. and Support (intern)</t>
  </si>
  <si>
    <t>SC 30 - SaaS (extern)</t>
  </si>
  <si>
    <t>SC 30 - Maint. for ext. SW Licenses (extern)</t>
  </si>
  <si>
    <t>SC 40 -  IOS (intern)</t>
  </si>
  <si>
    <t>SC 50 - AS (intern)</t>
  </si>
  <si>
    <t>Local IT/IM Costs One-Off (intern)</t>
  </si>
  <si>
    <t>Local IT/IM Costs Recurr. (intern)</t>
  </si>
  <si>
    <t>Sales Benefits</t>
  </si>
  <si>
    <t>Cost Savings</t>
  </si>
  <si>
    <t>Non-quantitative Benefits</t>
  </si>
  <si>
    <t>EBIT per period</t>
  </si>
  <si>
    <t>Discounted EVA cumulative</t>
  </si>
  <si>
    <t>ROI (all years)</t>
  </si>
  <si>
    <t>Payback Period</t>
  </si>
  <si>
    <t>Project Number</t>
  </si>
  <si>
    <t>Start FY</t>
  </si>
  <si>
    <t>?</t>
  </si>
  <si>
    <t>Summary</t>
  </si>
  <si>
    <t xml:space="preserve">Project Manager  </t>
  </si>
  <si>
    <t xml:space="preserve">Project Sponsor  </t>
  </si>
  <si>
    <t>Project Number(s)</t>
  </si>
  <si>
    <t xml:space="preserve">Creation date  </t>
  </si>
  <si>
    <t>Project Name</t>
  </si>
  <si>
    <t xml:space="preserve">Start (FY)  </t>
  </si>
  <si>
    <t>Program Name</t>
  </si>
  <si>
    <t xml:space="preserve">Go-Live (FY)  </t>
  </si>
  <si>
    <t>Total</t>
  </si>
  <si>
    <t xml:space="preserve"> I. Cost-Benefit Comparison</t>
  </si>
  <si>
    <t>Non-capitalizable efforts</t>
  </si>
  <si>
    <t>Depreciation</t>
  </si>
  <si>
    <t>Costs</t>
  </si>
  <si>
    <t>Sales benefits</t>
  </si>
  <si>
    <t>Cost savings</t>
  </si>
  <si>
    <t>Benefits</t>
  </si>
  <si>
    <r>
      <t>EBIT</t>
    </r>
    <r>
      <rPr>
        <b/>
        <sz val="10"/>
        <color theme="3"/>
        <rFont val="Roboto"/>
      </rPr>
      <t xml:space="preserve"> </t>
    </r>
    <r>
      <rPr>
        <sz val="10"/>
        <color theme="3"/>
        <rFont val="Roboto"/>
      </rPr>
      <t>- Earnings Before Interest &amp; Tax</t>
    </r>
  </si>
  <si>
    <t xml:space="preserve">Total   </t>
  </si>
  <si>
    <t>II. Discounted EVA</t>
  </si>
  <si>
    <t>Depreciations</t>
  </si>
  <si>
    <t>Benefit</t>
  </si>
  <si>
    <t>EBIT - Earnings before Interest &amp; Tax</t>
  </si>
  <si>
    <t>Calculated Tax</t>
  </si>
  <si>
    <t>NOPAT - Net operating profit after Tax</t>
  </si>
  <si>
    <t>Capital Employed (residual book value from inv.)</t>
  </si>
  <si>
    <t>Calculation Cost of Capital</t>
  </si>
  <si>
    <t>EVA per period</t>
  </si>
  <si>
    <r>
      <t>Discounted EVA</t>
    </r>
    <r>
      <rPr>
        <sz val="10"/>
        <color theme="3"/>
        <rFont val="Roboto"/>
      </rPr>
      <t xml:space="preserve"> per period</t>
    </r>
  </si>
  <si>
    <r>
      <t>Discounted EVA</t>
    </r>
    <r>
      <rPr>
        <sz val="10"/>
        <color theme="3"/>
        <rFont val="Roboto"/>
      </rPr>
      <t xml:space="preserve"> cumulative</t>
    </r>
  </si>
  <si>
    <t>Basic data for EVA Calculation</t>
  </si>
  <si>
    <t>Tax Rate:</t>
  </si>
  <si>
    <t>WACC:</t>
  </si>
  <si>
    <t>III. KPI - Key Performance Indicator</t>
  </si>
  <si>
    <t>Total costs (all years)</t>
  </si>
  <si>
    <t>Total benefits (all years)</t>
  </si>
  <si>
    <t>EBIT (all years)</t>
  </si>
  <si>
    <t>Discounted EVA (all years)</t>
  </si>
  <si>
    <t>Payback Period (y/m)</t>
  </si>
  <si>
    <t>IV. EVA chart</t>
  </si>
  <si>
    <t>Costs &amp; Benefits</t>
  </si>
  <si>
    <t xml:space="preserve">Project Number  </t>
  </si>
  <si>
    <t xml:space="preserve">Project Name  </t>
  </si>
  <si>
    <t xml:space="preserve">Program Name  </t>
  </si>
  <si>
    <t>A. Cost Calculation (IT Planning)</t>
  </si>
  <si>
    <t>Type</t>
  </si>
  <si>
    <t>I.</t>
  </si>
  <si>
    <t>Capitalizable efforts (absolute amounts)</t>
  </si>
  <si>
    <t>Service category 70: Project Capitalizable</t>
  </si>
  <si>
    <t>Cash Out (intern)</t>
  </si>
  <si>
    <t>One-Off</t>
  </si>
  <si>
    <t>Cash Out (extern)</t>
  </si>
  <si>
    <t>Service category 90: Software Licenses</t>
  </si>
  <si>
    <t>Local IT/IM (Investments)</t>
  </si>
  <si>
    <t>TOTAL</t>
  </si>
  <si>
    <t>Useful life (depreciation)</t>
  </si>
  <si>
    <t xml:space="preserve">   If useful life &gt; 5 years please comment</t>
  </si>
  <si>
    <t>II.</t>
  </si>
  <si>
    <t>Non-capitalizable efforts (absolute amounts)</t>
  </si>
  <si>
    <t>Service Category 10: Project Non Capitalizable</t>
  </si>
  <si>
    <t>Service category 30: Support &amp; Maintenance</t>
  </si>
  <si>
    <t>Recurrent</t>
  </si>
  <si>
    <t>Service category 30: SaaS</t>
  </si>
  <si>
    <t>Service category 30: Maintenance for external Software Licenses</t>
  </si>
  <si>
    <t>Service category 40: IOS (Infrastructure Operation Service)</t>
  </si>
  <si>
    <t>Service category 50: AS (Application Service)</t>
  </si>
  <si>
    <t>Local IT/IM (Costs)</t>
  </si>
  <si>
    <t>III.</t>
  </si>
  <si>
    <r>
      <t>Depreciation</t>
    </r>
    <r>
      <rPr>
        <sz val="10"/>
        <color theme="3"/>
        <rFont val="Roboto"/>
      </rPr>
      <t xml:space="preserve"> (automatic calculation to proof if capitalized efforts categories are added)</t>
    </r>
  </si>
  <si>
    <t>Residual</t>
  </si>
  <si>
    <t>Total Costs</t>
  </si>
  <si>
    <t>B. Benefit Calculation (Business Planning)</t>
  </si>
  <si>
    <t>Cost Savings (absolute amounts)</t>
  </si>
  <si>
    <t>Additional non-monetary Benefits</t>
  </si>
  <si>
    <r>
      <t>B. Benefit Calculation</t>
    </r>
    <r>
      <rPr>
        <sz val="12"/>
        <color theme="3"/>
        <rFont val="Roboto"/>
      </rPr>
      <t xml:space="preserve"> (Business Planning)  </t>
    </r>
    <r>
      <rPr>
        <b/>
        <sz val="12"/>
        <color theme="3"/>
        <rFont val="Roboto"/>
      </rPr>
      <t>Total Costs</t>
    </r>
  </si>
  <si>
    <t>C. Calculation of Discounted EVA</t>
  </si>
  <si>
    <t>(2)</t>
  </si>
  <si>
    <t>Total Benefits</t>
  </si>
  <si>
    <t>(3)</t>
  </si>
  <si>
    <r>
      <t>EBIT</t>
    </r>
    <r>
      <rPr>
        <b/>
        <sz val="9"/>
        <color theme="1" tint="0.249977111117893"/>
        <rFont val="Roboto"/>
      </rPr>
      <t xml:space="preserve"> - </t>
    </r>
    <r>
      <rPr>
        <sz val="9"/>
        <color theme="1" tint="0.249977111117893"/>
        <rFont val="Roboto"/>
      </rPr>
      <t>Earnings before Interest &amp; Tax</t>
    </r>
  </si>
  <si>
    <t xml:space="preserve">(4) = + (3) - (2) - (1) </t>
  </si>
  <si>
    <t>Calculation Tax</t>
  </si>
  <si>
    <t>(5) = - Tax Rate x (4)</t>
  </si>
  <si>
    <r>
      <t>NOPAT</t>
    </r>
    <r>
      <rPr>
        <sz val="9"/>
        <color theme="1" tint="0.249977111117893"/>
        <rFont val="Roboto"/>
      </rPr>
      <t xml:space="preserve"> - Net operating profit after Tax</t>
    </r>
  </si>
  <si>
    <t>(6) = (5) - (4)</t>
  </si>
  <si>
    <t>Capital Employed</t>
  </si>
  <si>
    <t>(7)</t>
  </si>
  <si>
    <t>(8) = (7) x WACC</t>
  </si>
  <si>
    <t>Calculation EVA per period</t>
  </si>
  <si>
    <t>(9) = (6) + (8)</t>
  </si>
  <si>
    <t>Calculation of discounted EVA</t>
  </si>
  <si>
    <t>Calculation of cumulative EVA</t>
  </si>
  <si>
    <t>Calculation of discounted Cash Flow</t>
  </si>
  <si>
    <t>Calculation of cumulated Cash Flow</t>
  </si>
  <si>
    <t>Months needed for payback</t>
  </si>
  <si>
    <t>Years needed for payback</t>
  </si>
  <si>
    <t>Cash Payback Time (from Go Live)</t>
  </si>
  <si>
    <t>Years</t>
  </si>
  <si>
    <t>Month</t>
  </si>
  <si>
    <t>Calculation of discounted Investment</t>
  </si>
  <si>
    <t>Demand Category</t>
  </si>
  <si>
    <t>Demand Number</t>
  </si>
  <si>
    <t>Demand Title</t>
  </si>
  <si>
    <t>Demand Description</t>
  </si>
  <si>
    <t>Benefit Description</t>
  </si>
  <si>
    <t>Business Risk if not implemented</t>
  </si>
  <si>
    <t>Demand Costs</t>
  </si>
  <si>
    <t>Definition of capitalizable and non capitalizable efforts</t>
  </si>
  <si>
    <t>Project Non Capitalizable</t>
  </si>
  <si>
    <t>SC 10</t>
  </si>
  <si>
    <t>Strategy &amp; Analysis</t>
  </si>
  <si>
    <t>- Project initiation
- Project management (planning, controlling, reporting)
- Documentation of research results
- Proof of concept</t>
  </si>
  <si>
    <t>Training</t>
  </si>
  <si>
    <t>- Release change
- Preparation of training material &amp; training
- On-site support
- Project management activities for this tasks</t>
  </si>
  <si>
    <t>Project Capitalizable</t>
  </si>
  <si>
    <t>SC 70</t>
  </si>
  <si>
    <t>Design &amp; Implementation</t>
  </si>
  <si>
    <t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t>
  </si>
  <si>
    <t>Introduction</t>
  </si>
  <si>
    <t>- All software development services during introduction 
- Customer specific adaptions
- Rollout of software solution selective or area-wide 
- Harmonisation of software solutions
- Go live
- Project management activity for this tasks</t>
  </si>
  <si>
    <t>Support &amp; Maintenance (non capitalizable)</t>
  </si>
  <si>
    <t>SC 30</t>
  </si>
  <si>
    <t>2nd Level-Support</t>
  </si>
  <si>
    <t>- Phase: after go live
- Analyses, management of bug fixing
- Specification of the occured bugs
- Forwording of bugs if required
- Concerns also OSS and R&amp;D for SAP</t>
  </si>
  <si>
    <t>Maintenance</t>
  </si>
  <si>
    <t>- Phase: after go live
- Bug fixing
- Performance tuning based on technical necessities
- Innovation based on further technical developments</t>
  </si>
  <si>
    <t>Infrastructure Operations (non capitalizable)</t>
  </si>
  <si>
    <t>SC 40</t>
  </si>
  <si>
    <t>Application Operations (non capitalizable)</t>
  </si>
  <si>
    <t>SC 50</t>
  </si>
  <si>
    <t>Software Licences (capitalizable)</t>
  </si>
  <si>
    <t>SC 90</t>
  </si>
  <si>
    <t>- License costs for external standard software, e.g. Oracle, Tivoli, SAP, SAF etc.
- Maintance of external software belongs to the service category 30</t>
  </si>
  <si>
    <t>Test Scope</t>
  </si>
  <si>
    <t>Synthetic Test Scope</t>
  </si>
  <si>
    <t>IT Business Case 2026 - SYNTHETIC TEST DATA</t>
  </si>
  <si>
    <t>Test Project Manager C</t>
  </si>
  <si>
    <t>Test Decision ID</t>
  </si>
  <si>
    <t>Test Sponsor C</t>
  </si>
  <si>
    <t>TEST-BC-003</t>
  </si>
  <si>
    <t>PRODUCT 3 | Campaign Automation [TEST]</t>
  </si>
  <si>
    <t>Synthetic Marketing Program C</t>
  </si>
  <si>
    <t>Synthetic internal solution and test-design effort</t>
  </si>
  <si>
    <t>Synthetic external implementation effort</t>
  </si>
  <si>
    <t>Test integration licences and tooling</t>
  </si>
  <si>
    <t>Synthetic test-environment setup</t>
  </si>
  <si>
    <t>Internal test onboarding and enablement</t>
  </si>
  <si>
    <t>External test rollout and documentation support</t>
  </si>
  <si>
    <t>Internal test platform support</t>
  </si>
  <si>
    <t>Test messaging and automation services</t>
  </si>
  <si>
    <t>External maintenance for test integrations</t>
  </si>
  <si>
    <t>Synthetic incremental value from automated test journeys</t>
  </si>
  <si>
    <t>Reduced manual setup effort in the test process</t>
  </si>
  <si>
    <t>Reduced duplicated test-template and integration effort</t>
  </si>
  <si>
    <t>Synthetic qualitative benefits: repeatable campaign tests; faster setup; consistent measurement; no use of production customer data.</t>
  </si>
  <si>
    <t>Business</t>
  </si>
  <si>
    <t>1</t>
  </si>
  <si>
    <t>Implement a synthetic campaign-automation scenario using generated customer profiles, sample segments and fictitious responses.</t>
  </si>
  <si>
    <t>Tests orchestration, measurement and comparison logic without using real customer, campaign or behavioural data.</t>
  </si>
  <si>
    <t>The test environment would not cover the intended automation and measurement paths.</t>
  </si>
  <si>
    <t>See Costs &amp; Benefits</t>
  </si>
  <si>
    <t>Rollout</t>
  </si>
  <si>
    <t>2</t>
  </si>
  <si>
    <t>Test rollout and adoption</t>
  </si>
  <si>
    <t>Enable synthetic regions and test users with reusable templates and a standard support model.</t>
  </si>
  <si>
    <t>Makes campaign tests repeatable and comparable across synthetic regions.</t>
  </si>
  <si>
    <t>Test execution would be fragmented and results less comparable.</t>
  </si>
  <si>
    <t>Included in project costs</t>
  </si>
  <si>
    <t>As-is: synthetic campaigns are prepared in separate test steps with limited standardisation and measurement.</t>
  </si>
  <si>
    <t>To-be: Product 3 orchestrates generated profiles, sample messages, landing pages and synthetic responses in one repeatable test flow.</t>
  </si>
  <si>
    <t>As-is: test setup and adoption differ across synthetic regions.</t>
  </si>
  <si>
    <t>To-be: all synthetic regions use common templates, training and test-support procedures.</t>
  </si>
  <si>
    <t>Faster test rollout, less duplicated setup work and more comparable results.</t>
  </si>
  <si>
    <t>- Services of the synthetic test IT unit "Infrastructure Operations"</t>
  </si>
  <si>
    <t>- Services of the synthetic test IT unit "Application Operations"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</si>
</sst>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\ &quot;€&quot;"/>
    <numFmt numFmtId="165" formatCode="#,##0.00&quot; €&quot;;\-#,##0.00&quot; €&quot;"/>
    <numFmt numFmtId="166" formatCode="#,##0\ &quot;BT&quot;"/>
    <numFmt numFmtId="167" formatCode="#,##0\ &quot;Years&quot;"/>
    <numFmt numFmtId="168" formatCode="#,##0\ &quot;€&quot;"/>
    <numFmt numFmtId="169" formatCode="#,##0&quot; €&quot;;[Red]\-#,##0&quot; €&quot;"/>
    <numFmt numFmtId="170" formatCode="0;;@"/>
    <numFmt numFmtId="171" formatCode="#,##0;[Red]\(#,##0\);\-"/>
    <numFmt numFmtId="172" formatCode="0.0%;[Red]\(0.0%\);\-"/>
  </numFmts>
  <fonts count="41" x14ac:knownFonts="1">
    <font>
      <sz val="10"/>
      <name val="Arial"/>
    </font>
    <font>
      <sz val="10"/>
      <name val="Arial"/>
    </font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12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theme="0" tint="-0.14999847407452621"/>
      <name val="Arial"/>
    </font>
    <font>
      <sz val="10"/>
      <name val="Roboto"/>
    </font>
    <font>
      <b/>
      <sz val="10"/>
      <name val="Roboto"/>
    </font>
    <font>
      <b/>
      <sz val="10"/>
      <name val="Roboto"/>
    </font>
    <font>
      <b/>
      <sz val="10"/>
      <color rgb="FFC00000"/>
      <name val="Roboto"/>
    </font>
    <font>
      <sz val="10"/>
      <color rgb="FFC00000"/>
      <name val="Roboto"/>
    </font>
    <font>
      <b/>
      <sz val="10"/>
      <color theme="0"/>
      <name val="Roboto"/>
    </font>
    <font>
      <sz val="10"/>
      <color theme="1" tint="0.249977111117893"/>
      <name val="Roboto"/>
    </font>
    <font>
      <b/>
      <sz val="16"/>
      <color theme="0"/>
      <name val="Roboto"/>
    </font>
    <font>
      <b/>
      <sz val="10"/>
      <color theme="3"/>
      <name val="Roboto"/>
    </font>
    <font>
      <sz val="10"/>
      <color theme="3"/>
      <name val="Roboto"/>
    </font>
    <font>
      <sz val="9"/>
      <name val="Roboto"/>
    </font>
    <font>
      <b/>
      <sz val="14"/>
      <color theme="3"/>
      <name val="Roboto"/>
    </font>
    <font>
      <sz val="14"/>
      <color theme="3"/>
      <name val="Roboto"/>
    </font>
    <font>
      <b/>
      <sz val="28"/>
      <color rgb="FFFBE400"/>
      <name val="Verdana"/>
    </font>
    <font>
      <b/>
      <sz val="12"/>
      <color theme="3"/>
      <name val="Roboto"/>
    </font>
    <font>
      <sz val="12"/>
      <color theme="3"/>
      <name val="Roboto"/>
    </font>
    <font>
      <b/>
      <sz val="10"/>
      <color theme="1" tint="0.249977111117893"/>
      <name val="Roboto"/>
    </font>
    <font>
      <sz val="9"/>
      <color theme="1" tint="0.249977111117893"/>
      <name val="Roboto"/>
    </font>
    <font>
      <b/>
      <sz val="14"/>
      <color theme="3"/>
      <name val="Roboto"/>
    </font>
    <font>
      <b/>
      <sz val="9"/>
      <color theme="1" tint="0.249977111117893"/>
      <name val="Roboto"/>
    </font>
    <font>
      <b/>
      <sz val="10"/>
      <color theme="1" tint="0.34998626667073579"/>
      <name val="Roboto"/>
    </font>
    <font>
      <sz val="10"/>
      <color theme="10"/>
      <name val="Arial"/>
    </font>
    <font>
      <b/>
      <sz val="22"/>
      <color theme="9" tint="-0.249977111117893"/>
      <name val="Arial"/>
    </font>
    <font>
      <b/>
      <sz val="48"/>
      <color rgb="FFFBE400"/>
      <name val="Roboto"/>
    </font>
    <font>
      <b/>
      <sz val="72"/>
      <color rgb="FFFBE400"/>
      <name val="Roboto"/>
    </font>
    <font>
      <b/>
      <sz val="10"/>
      <color rgb="FFCCEBFF"/>
      <name val="Roboto"/>
    </font>
    <font>
      <b/>
      <sz val="14"/>
      <color theme="3"/>
      <name val="Arial"/>
    </font>
    <font>
      <sz val="10"/>
      <color theme="3"/>
      <name val="Arial"/>
    </font>
    <font>
      <b/>
      <sz val="10"/>
      <name val="Arial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CCEBFF"/>
      </patternFill>
    </fill>
    <fill>
      <patternFill patternType="solid">
        <fgColor rgb="FFEEEEEE"/>
      </patternFill>
    </fill>
    <fill>
      <patternFill patternType="solid">
        <fgColor rgb="FFFEF9CC"/>
      </patternFill>
    </fill>
    <fill>
      <patternFill patternType="solid">
        <fgColor rgb="FFF4F4F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 tint="-0.14999847407452621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0" tint="-0.14999847407452621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0" borderId="0"/>
    <xf numFmtId="0" fontId="7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</cellStyleXfs>
  <cellXfs count="371">
    <xf numFmtId="0" fontId="0" fillId="0" borderId="0" xfId="0"/>
    <xf numFmtId="0" fontId="3" fillId="2" borderId="0" xfId="5" applyFont="1" applyFill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6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3" borderId="2" xfId="0" applyFill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2" borderId="0" xfId="3" applyFont="1" applyFill="1" applyAlignment="1">
      <alignment horizontal="left"/>
    </xf>
    <xf numFmtId="9" fontId="0" fillId="3" borderId="0" xfId="6" applyFont="1" applyFill="1"/>
    <xf numFmtId="0" fontId="4" fillId="3" borderId="2" xfId="0" applyFont="1" applyFill="1" applyBorder="1"/>
    <xf numFmtId="10" fontId="0" fillId="3" borderId="2" xfId="6" applyNumberFormat="1" applyFont="1" applyFill="1" applyBorder="1"/>
    <xf numFmtId="0" fontId="1" fillId="3" borderId="2" xfId="0" applyFont="1" applyFill="1" applyBorder="1"/>
    <xf numFmtId="0" fontId="1" fillId="2" borderId="0" xfId="5" applyFont="1" applyFill="1"/>
    <xf numFmtId="49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49" fontId="10" fillId="5" borderId="2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5" borderId="2" xfId="5" applyFont="1" applyFill="1" applyBorder="1" applyAlignment="1">
      <alignment horizontal="right"/>
    </xf>
    <xf numFmtId="0" fontId="4" fillId="5" borderId="3" xfId="5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49" fontId="4" fillId="3" borderId="2" xfId="5" applyNumberFormat="1" applyFont="1" applyFill="1" applyBorder="1" applyAlignment="1">
      <alignment horizontal="right"/>
    </xf>
    <xf numFmtId="0" fontId="1" fillId="5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1" fillId="2" borderId="0" xfId="2" applyFont="1" applyFill="1"/>
    <xf numFmtId="0" fontId="11" fillId="3" borderId="0" xfId="2" applyFont="1" applyFill="1"/>
    <xf numFmtId="0" fontId="13" fillId="2" borderId="0" xfId="2" applyFont="1" applyFill="1"/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left"/>
    </xf>
    <xf numFmtId="0" fontId="11" fillId="2" borderId="0" xfId="0" applyFont="1" applyFill="1"/>
    <xf numFmtId="166" fontId="11" fillId="2" borderId="0" xfId="2" applyNumberFormat="1" applyFont="1" applyFill="1"/>
    <xf numFmtId="0" fontId="12" fillId="2" borderId="0" xfId="2" applyFont="1" applyFill="1"/>
    <xf numFmtId="167" fontId="11" fillId="3" borderId="0" xfId="2" applyNumberFormat="1" applyFont="1" applyFill="1" applyAlignment="1">
      <alignment horizontal="right"/>
    </xf>
    <xf numFmtId="166" fontId="11" fillId="3" borderId="0" xfId="2" applyNumberFormat="1" applyFont="1" applyFill="1"/>
    <xf numFmtId="167" fontId="11" fillId="3" borderId="0" xfId="2" applyNumberFormat="1" applyFont="1" applyFill="1" applyAlignment="1">
      <alignment horizontal="left"/>
    </xf>
    <xf numFmtId="3" fontId="11" fillId="2" borderId="0" xfId="2" applyNumberFormat="1" applyFont="1" applyFill="1"/>
    <xf numFmtId="0" fontId="11" fillId="3" borderId="0" xfId="2" applyFont="1" applyFill="1" applyAlignment="1">
      <alignment vertical="center"/>
    </xf>
    <xf numFmtId="0" fontId="12" fillId="3" borderId="0" xfId="2" applyFont="1" applyFill="1"/>
    <xf numFmtId="0" fontId="11" fillId="2" borderId="0" xfId="2" applyFont="1" applyFill="1" applyAlignment="1">
      <alignment horizontal="left" wrapText="1"/>
    </xf>
    <xf numFmtId="0" fontId="11" fillId="3" borderId="0" xfId="2" applyFont="1" applyFill="1" applyAlignment="1">
      <alignment horizontal="left" vertical="center"/>
    </xf>
    <xf numFmtId="0" fontId="11" fillId="4" borderId="0" xfId="2" applyFont="1" applyFill="1"/>
    <xf numFmtId="0" fontId="16" fillId="4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15" fontId="12" fillId="3" borderId="0" xfId="5" applyNumberFormat="1" applyFont="1" applyFill="1" applyAlignment="1">
      <alignment horizontal="right" vertical="center"/>
    </xf>
    <xf numFmtId="0" fontId="12" fillId="3" borderId="0" xfId="2" applyFont="1" applyFill="1" applyAlignment="1">
      <alignment horizontal="right"/>
    </xf>
    <xf numFmtId="0" fontId="11" fillId="3" borderId="0" xfId="4" applyFont="1" applyFill="1" applyAlignment="1">
      <alignment horizontal="left" vertical="center" wrapText="1"/>
    </xf>
    <xf numFmtId="0" fontId="25" fillId="7" borderId="0" xfId="2" applyFont="1" applyFill="1" applyAlignment="1">
      <alignment horizontal="left"/>
    </xf>
    <xf numFmtId="0" fontId="26" fillId="7" borderId="0" xfId="2" applyFont="1" applyFill="1"/>
    <xf numFmtId="0" fontId="26" fillId="7" borderId="0" xfId="2" applyFont="1" applyFill="1" applyAlignment="1">
      <alignment vertical="center"/>
    </xf>
    <xf numFmtId="0" fontId="11" fillId="7" borderId="0" xfId="0" applyFont="1" applyFill="1"/>
    <xf numFmtId="0" fontId="26" fillId="7" borderId="0" xfId="2" applyFont="1" applyFill="1" applyAlignment="1">
      <alignment horizontal="left" vertical="center"/>
    </xf>
    <xf numFmtId="0" fontId="25" fillId="7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0" fontId="12" fillId="8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27" fillId="8" borderId="5" xfId="0" applyFont="1" applyFill="1" applyBorder="1" applyAlignment="1">
      <alignment horizontal="left" wrapText="1"/>
    </xf>
    <xf numFmtId="0" fontId="12" fillId="8" borderId="0" xfId="0" applyFont="1" applyFill="1" applyAlignment="1">
      <alignment horizontal="left"/>
    </xf>
    <xf numFmtId="0" fontId="27" fillId="8" borderId="0" xfId="0" applyFont="1" applyFill="1" applyAlignment="1">
      <alignment horizontal="left" wrapText="1"/>
    </xf>
    <xf numFmtId="0" fontId="12" fillId="8" borderId="8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center"/>
    </xf>
    <xf numFmtId="1" fontId="12" fillId="8" borderId="9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left" wrapText="1"/>
    </xf>
    <xf numFmtId="0" fontId="11" fillId="7" borderId="5" xfId="2" applyFont="1" applyFill="1" applyBorder="1" applyAlignment="1">
      <alignment horizontal="left"/>
    </xf>
    <xf numFmtId="0" fontId="12" fillId="7" borderId="5" xfId="2" applyFont="1" applyFill="1" applyBorder="1" applyAlignment="1">
      <alignment wrapText="1"/>
    </xf>
    <xf numFmtId="49" fontId="11" fillId="7" borderId="10" xfId="0" applyNumberFormat="1" applyFont="1" applyFill="1" applyBorder="1" applyAlignment="1">
      <alignment horizontal="right"/>
    </xf>
    <xf numFmtId="0" fontId="19" fillId="7" borderId="5" xfId="2" applyFont="1" applyFill="1" applyBorder="1" applyAlignment="1">
      <alignment horizontal="left"/>
    </xf>
    <xf numFmtId="167" fontId="11" fillId="3" borderId="4" xfId="2" applyNumberFormat="1" applyFont="1" applyFill="1" applyBorder="1" applyAlignment="1">
      <alignment horizontal="right"/>
    </xf>
    <xf numFmtId="49" fontId="17" fillId="3" borderId="4" xfId="0" applyNumberFormat="1" applyFont="1" applyFill="1" applyBorder="1" applyAlignment="1">
      <alignment horizontal="left"/>
    </xf>
    <xf numFmtId="0" fontId="17" fillId="8" borderId="6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horizontal="center" wrapText="1"/>
    </xf>
    <xf numFmtId="1" fontId="27" fillId="8" borderId="4" xfId="0" applyNumberFormat="1" applyFont="1" applyFill="1" applyBorder="1" applyAlignment="1">
      <alignment horizontal="center"/>
    </xf>
    <xf numFmtId="0" fontId="12" fillId="7" borderId="0" xfId="2" applyFont="1" applyFill="1"/>
    <xf numFmtId="0" fontId="11" fillId="7" borderId="0" xfId="2" applyFont="1" applyFill="1" applyAlignment="1">
      <alignment horizontal="center" vertical="center"/>
    </xf>
    <xf numFmtId="3" fontId="11" fillId="10" borderId="0" xfId="2" applyNumberFormat="1" applyFont="1" applyFill="1"/>
    <xf numFmtId="1" fontId="27" fillId="8" borderId="11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wrapText="1"/>
    </xf>
    <xf numFmtId="0" fontId="12" fillId="8" borderId="13" xfId="0" applyFont="1" applyFill="1" applyBorder="1" applyAlignment="1">
      <alignment horizontal="left"/>
    </xf>
    <xf numFmtId="3" fontId="11" fillId="10" borderId="13" xfId="2" applyNumberFormat="1" applyFont="1" applyFill="1" applyBorder="1"/>
    <xf numFmtId="0" fontId="22" fillId="3" borderId="8" xfId="2" applyFont="1" applyFill="1" applyBorder="1"/>
    <xf numFmtId="0" fontId="11" fillId="3" borderId="8" xfId="2" applyFont="1" applyFill="1" applyBorder="1"/>
    <xf numFmtId="0" fontId="11" fillId="3" borderId="8" xfId="2" applyFont="1" applyFill="1" applyBorder="1" applyAlignment="1">
      <alignment vertical="center"/>
    </xf>
    <xf numFmtId="0" fontId="11" fillId="3" borderId="15" xfId="2" applyFont="1" applyFill="1" applyBorder="1"/>
    <xf numFmtId="0" fontId="12" fillId="2" borderId="13" xfId="2" applyFont="1" applyFill="1" applyBorder="1" applyAlignment="1">
      <alignment horizontal="center"/>
    </xf>
    <xf numFmtId="0" fontId="11" fillId="2" borderId="12" xfId="2" applyFont="1" applyFill="1" applyBorder="1"/>
    <xf numFmtId="0" fontId="11" fillId="2" borderId="13" xfId="2" applyFont="1" applyFill="1" applyBorder="1"/>
    <xf numFmtId="3" fontId="11" fillId="2" borderId="13" xfId="2" applyNumberFormat="1" applyFont="1" applyFill="1" applyBorder="1"/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1" fillId="3" borderId="14" xfId="2" applyFont="1" applyFill="1" applyBorder="1"/>
    <xf numFmtId="0" fontId="11" fillId="3" borderId="12" xfId="2" applyFont="1" applyFill="1" applyBorder="1"/>
    <xf numFmtId="165" fontId="12" fillId="3" borderId="13" xfId="2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wrapText="1"/>
    </xf>
    <xf numFmtId="0" fontId="11" fillId="3" borderId="13" xfId="2" applyFont="1" applyFill="1" applyBorder="1" applyAlignment="1">
      <alignment vertical="center"/>
    </xf>
    <xf numFmtId="0" fontId="12" fillId="3" borderId="13" xfId="2" applyFont="1" applyFill="1" applyBorder="1"/>
    <xf numFmtId="0" fontId="11" fillId="3" borderId="16" xfId="2" applyFont="1" applyFill="1" applyBorder="1"/>
    <xf numFmtId="165" fontId="12" fillId="3" borderId="10" xfId="2" applyNumberFormat="1" applyFont="1" applyFill="1" applyBorder="1" applyAlignment="1">
      <alignment horizontal="center"/>
    </xf>
    <xf numFmtId="0" fontId="11" fillId="2" borderId="8" xfId="2" applyFont="1" applyFill="1" applyBorder="1"/>
    <xf numFmtId="0" fontId="25" fillId="3" borderId="18" xfId="2" applyFont="1" applyFill="1" applyBorder="1" applyAlignment="1">
      <alignment horizontal="left" vertical="center"/>
    </xf>
    <xf numFmtId="0" fontId="25" fillId="3" borderId="19" xfId="2" applyFont="1" applyFill="1" applyBorder="1" applyAlignment="1">
      <alignment horizontal="left" vertical="center"/>
    </xf>
    <xf numFmtId="0" fontId="11" fillId="2" borderId="20" xfId="2" applyFont="1" applyFill="1" applyBorder="1"/>
    <xf numFmtId="0" fontId="22" fillId="3" borderId="20" xfId="2" applyFont="1" applyFill="1" applyBorder="1"/>
    <xf numFmtId="0" fontId="23" fillId="3" borderId="20" xfId="2" applyFont="1" applyFill="1" applyBorder="1"/>
    <xf numFmtId="0" fontId="11" fillId="3" borderId="20" xfId="2" applyFont="1" applyFill="1" applyBorder="1"/>
    <xf numFmtId="0" fontId="11" fillId="3" borderId="17" xfId="2" applyFont="1" applyFill="1" applyBorder="1"/>
    <xf numFmtId="0" fontId="29" fillId="3" borderId="20" xfId="2" applyFont="1" applyFill="1" applyBorder="1"/>
    <xf numFmtId="0" fontId="11" fillId="3" borderId="21" xfId="2" applyFont="1" applyFill="1" applyBorder="1"/>
    <xf numFmtId="0" fontId="11" fillId="6" borderId="13" xfId="2" applyFont="1" applyFill="1" applyBorder="1"/>
    <xf numFmtId="0" fontId="11" fillId="6" borderId="5" xfId="2" applyFont="1" applyFill="1" applyBorder="1"/>
    <xf numFmtId="0" fontId="11" fillId="3" borderId="5" xfId="2" applyFont="1" applyFill="1" applyBorder="1"/>
    <xf numFmtId="0" fontId="12" fillId="3" borderId="5" xfId="2" applyFont="1" applyFill="1" applyBorder="1" applyAlignment="1">
      <alignment horizontal="right"/>
    </xf>
    <xf numFmtId="0" fontId="11" fillId="3" borderId="5" xfId="4" applyFont="1" applyFill="1" applyBorder="1" applyAlignment="1">
      <alignment horizontal="left" vertical="center" wrapText="1"/>
    </xf>
    <xf numFmtId="0" fontId="11" fillId="2" borderId="5" xfId="2" applyFont="1" applyFill="1" applyBorder="1"/>
    <xf numFmtId="0" fontId="12" fillId="3" borderId="5" xfId="5" applyFont="1" applyFill="1" applyBorder="1" applyAlignment="1">
      <alignment horizontal="right" vertical="center"/>
    </xf>
    <xf numFmtId="0" fontId="11" fillId="3" borderId="13" xfId="2" applyFont="1" applyFill="1" applyBorder="1"/>
    <xf numFmtId="0" fontId="25" fillId="3" borderId="19" xfId="2" applyFont="1" applyFill="1" applyBorder="1" applyAlignment="1">
      <alignment horizontal="center" vertical="center"/>
    </xf>
    <xf numFmtId="0" fontId="29" fillId="3" borderId="8" xfId="2" applyFont="1" applyFill="1" applyBorder="1"/>
    <xf numFmtId="0" fontId="12" fillId="2" borderId="8" xfId="2" applyFont="1" applyFill="1" applyBorder="1" applyAlignment="1">
      <alignment vertical="center"/>
    </xf>
    <xf numFmtId="0" fontId="11" fillId="3" borderId="22" xfId="2" applyFont="1" applyFill="1" applyBorder="1"/>
    <xf numFmtId="165" fontId="12" fillId="3" borderId="15" xfId="2" applyNumberFormat="1" applyFont="1" applyFill="1" applyBorder="1" applyAlignment="1">
      <alignment horizontal="center"/>
    </xf>
    <xf numFmtId="0" fontId="12" fillId="3" borderId="13" xfId="2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/>
    <xf numFmtId="0" fontId="11" fillId="6" borderId="8" xfId="2" applyFont="1" applyFill="1" applyBorder="1"/>
    <xf numFmtId="0" fontId="12" fillId="6" borderId="0" xfId="2" applyFont="1" applyFill="1" applyAlignment="1">
      <alignment vertical="center"/>
    </xf>
    <xf numFmtId="165" fontId="12" fillId="6" borderId="7" xfId="2" applyNumberFormat="1" applyFont="1" applyFill="1" applyBorder="1" applyAlignment="1">
      <alignment horizontal="center"/>
    </xf>
    <xf numFmtId="0" fontId="11" fillId="3" borderId="23" xfId="2" applyFont="1" applyFill="1" applyBorder="1"/>
    <xf numFmtId="0" fontId="11" fillId="2" borderId="21" xfId="2" applyFont="1" applyFill="1" applyBorder="1"/>
    <xf numFmtId="0" fontId="12" fillId="2" borderId="21" xfId="2" applyFont="1" applyFill="1" applyBorder="1"/>
    <xf numFmtId="0" fontId="11" fillId="3" borderId="24" xfId="2" applyFont="1" applyFill="1" applyBorder="1"/>
    <xf numFmtId="49" fontId="17" fillId="3" borderId="11" xfId="0" applyNumberFormat="1" applyFont="1" applyFill="1" applyBorder="1"/>
    <xf numFmtId="49" fontId="17" fillId="3" borderId="7" xfId="0" applyNumberFormat="1" applyFont="1" applyFill="1" applyBorder="1"/>
    <xf numFmtId="49" fontId="17" fillId="3" borderId="12" xfId="0" applyNumberFormat="1" applyFont="1" applyFill="1" applyBorder="1"/>
    <xf numFmtId="49" fontId="17" fillId="3" borderId="0" xfId="0" applyNumberFormat="1" applyFont="1" applyFill="1"/>
    <xf numFmtId="0" fontId="27" fillId="9" borderId="11" xfId="0" applyFont="1" applyFill="1" applyBorder="1"/>
    <xf numFmtId="0" fontId="27" fillId="9" borderId="7" xfId="0" applyFont="1" applyFill="1" applyBorder="1"/>
    <xf numFmtId="3" fontId="11" fillId="10" borderId="11" xfId="2" applyNumberFormat="1" applyFont="1" applyFill="1" applyBorder="1"/>
    <xf numFmtId="3" fontId="11" fillId="10" borderId="7" xfId="2" applyNumberFormat="1" applyFont="1" applyFill="1" applyBorder="1"/>
    <xf numFmtId="1" fontId="27" fillId="8" borderId="6" xfId="0" applyNumberFormat="1" applyFont="1" applyFill="1" applyBorder="1" applyAlignment="1">
      <alignment horizontal="center"/>
    </xf>
    <xf numFmtId="1" fontId="27" fillId="8" borderId="7" xfId="0" applyNumberFormat="1" applyFont="1" applyFill="1" applyBorder="1" applyAlignment="1">
      <alignment horizontal="center"/>
    </xf>
    <xf numFmtId="1" fontId="27" fillId="8" borderId="6" xfId="0" applyNumberFormat="1" applyFont="1" applyFill="1" applyBorder="1" applyAlignment="1">
      <alignment horizontal="right"/>
    </xf>
    <xf numFmtId="0" fontId="12" fillId="7" borderId="5" xfId="2" applyFont="1" applyFill="1" applyBorder="1"/>
    <xf numFmtId="0" fontId="27" fillId="3" borderId="0" xfId="0" applyFont="1" applyFill="1"/>
    <xf numFmtId="0" fontId="11" fillId="6" borderId="0" xfId="0" applyFont="1" applyFill="1"/>
    <xf numFmtId="0" fontId="14" fillId="3" borderId="13" xfId="2" applyFont="1" applyFill="1" applyBorder="1" applyAlignment="1">
      <alignment horizontal="center"/>
    </xf>
    <xf numFmtId="168" fontId="15" fillId="3" borderId="13" xfId="5" applyNumberFormat="1" applyFont="1" applyFill="1" applyBorder="1" applyAlignment="1">
      <alignment vertical="center"/>
    </xf>
    <xf numFmtId="168" fontId="11" fillId="3" borderId="13" xfId="5" applyNumberFormat="1" applyFont="1" applyFill="1" applyBorder="1" applyAlignment="1">
      <alignment vertical="center"/>
    </xf>
    <xf numFmtId="168" fontId="14" fillId="3" borderId="13" xfId="5" applyNumberFormat="1" applyFont="1" applyFill="1" applyBorder="1" applyAlignment="1">
      <alignment vertical="center"/>
    </xf>
    <xf numFmtId="168" fontId="12" fillId="3" borderId="13" xfId="5" applyNumberFormat="1" applyFont="1" applyFill="1" applyBorder="1" applyAlignment="1">
      <alignment vertical="center"/>
    </xf>
    <xf numFmtId="168" fontId="14" fillId="3" borderId="13" xfId="2" applyNumberFormat="1" applyFont="1" applyFill="1" applyBorder="1" applyAlignment="1">
      <alignment vertical="center"/>
    </xf>
    <xf numFmtId="0" fontId="11" fillId="3" borderId="10" xfId="2" applyFont="1" applyFill="1" applyBorder="1"/>
    <xf numFmtId="0" fontId="25" fillId="6" borderId="0" xfId="2" applyFont="1" applyFill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21" fillId="6" borderId="0" xfId="0" applyFont="1" applyFill="1"/>
    <xf numFmtId="0" fontId="11" fillId="2" borderId="0" xfId="5" applyFont="1" applyFill="1"/>
    <xf numFmtId="0" fontId="11" fillId="3" borderId="0" xfId="5" applyFont="1" applyFill="1"/>
    <xf numFmtId="0" fontId="12" fillId="2" borderId="0" xfId="5" applyFont="1" applyFill="1"/>
    <xf numFmtId="0" fontId="12" fillId="2" borderId="0" xfId="5" applyFont="1" applyFill="1" applyAlignment="1">
      <alignment horizontal="left"/>
    </xf>
    <xf numFmtId="169" fontId="11" fillId="2" borderId="0" xfId="5" applyNumberFormat="1" applyFont="1" applyFill="1"/>
    <xf numFmtId="0" fontId="11" fillId="2" borderId="0" xfId="5" applyFont="1" applyFill="1" applyAlignment="1">
      <alignment horizontal="right"/>
    </xf>
    <xf numFmtId="1" fontId="27" fillId="8" borderId="15" xfId="0" applyNumberFormat="1" applyFont="1" applyFill="1" applyBorder="1" applyAlignment="1">
      <alignment horizontal="center"/>
    </xf>
    <xf numFmtId="0" fontId="11" fillId="6" borderId="0" xfId="5" applyFont="1" applyFill="1"/>
    <xf numFmtId="0" fontId="12" fillId="6" borderId="0" xfId="5" applyFont="1" applyFill="1" applyAlignment="1">
      <alignment horizontal="right" vertical="center"/>
    </xf>
    <xf numFmtId="0" fontId="11" fillId="6" borderId="0" xfId="4" applyFont="1" applyFill="1" applyAlignment="1">
      <alignment horizontal="left" vertical="center" wrapText="1"/>
    </xf>
    <xf numFmtId="0" fontId="1" fillId="7" borderId="0" xfId="5" applyFont="1" applyFill="1"/>
    <xf numFmtId="0" fontId="1" fillId="8" borderId="0" xfId="5" applyFont="1" applyFill="1"/>
    <xf numFmtId="0" fontId="4" fillId="8" borderId="0" xfId="5" applyFont="1" applyFill="1" applyAlignment="1">
      <alignment horizontal="left"/>
    </xf>
    <xf numFmtId="0" fontId="1" fillId="6" borderId="0" xfId="5" applyFont="1" applyFill="1"/>
    <xf numFmtId="0" fontId="11" fillId="3" borderId="8" xfId="5" applyFont="1" applyFill="1" applyBorder="1"/>
    <xf numFmtId="0" fontId="12" fillId="3" borderId="8" xfId="5" applyFont="1" applyFill="1" applyBorder="1" applyAlignment="1">
      <alignment horizontal="right" vertical="center"/>
    </xf>
    <xf numFmtId="0" fontId="11" fillId="3" borderId="8" xfId="4" applyFont="1" applyFill="1" applyBorder="1" applyAlignment="1">
      <alignment horizontal="left" vertical="center" wrapText="1"/>
    </xf>
    <xf numFmtId="0" fontId="1" fillId="2" borderId="12" xfId="5" applyFont="1" applyFill="1" applyBorder="1"/>
    <xf numFmtId="0" fontId="1" fillId="2" borderId="13" xfId="5" applyFont="1" applyFill="1" applyBorder="1"/>
    <xf numFmtId="0" fontId="1" fillId="3" borderId="13" xfId="5" applyFont="1" applyFill="1" applyBorder="1"/>
    <xf numFmtId="0" fontId="25" fillId="3" borderId="0" xfId="2" applyFont="1" applyFill="1" applyAlignment="1">
      <alignment horizontal="left" vertical="center"/>
    </xf>
    <xf numFmtId="0" fontId="11" fillId="7" borderId="0" xfId="5" applyFont="1" applyFill="1"/>
    <xf numFmtId="0" fontId="11" fillId="7" borderId="0" xfId="2" applyFont="1" applyFill="1"/>
    <xf numFmtId="0" fontId="11" fillId="8" borderId="0" xfId="2" applyFont="1" applyFill="1"/>
    <xf numFmtId="0" fontId="11" fillId="8" borderId="0" xfId="2" applyFont="1" applyFill="1" applyAlignment="1">
      <alignment horizontal="left" vertical="center"/>
    </xf>
    <xf numFmtId="0" fontId="11" fillId="3" borderId="0" xfId="0" applyFont="1" applyFill="1"/>
    <xf numFmtId="0" fontId="11" fillId="2" borderId="8" xfId="5" applyFont="1" applyFill="1" applyBorder="1"/>
    <xf numFmtId="0" fontId="11" fillId="2" borderId="15" xfId="5" applyFont="1" applyFill="1" applyBorder="1"/>
    <xf numFmtId="0" fontId="11" fillId="3" borderId="12" xfId="5" applyFont="1" applyFill="1" applyBorder="1"/>
    <xf numFmtId="0" fontId="11" fillId="2" borderId="13" xfId="5" applyFont="1" applyFill="1" applyBorder="1"/>
    <xf numFmtId="168" fontId="17" fillId="3" borderId="13" xfId="0" applyNumberFormat="1" applyFont="1" applyFill="1" applyBorder="1" applyAlignment="1">
      <alignment horizontal="right"/>
    </xf>
    <xf numFmtId="0" fontId="11" fillId="2" borderId="5" xfId="5" applyFont="1" applyFill="1" applyBorder="1"/>
    <xf numFmtId="0" fontId="12" fillId="2" borderId="5" xfId="5" applyFont="1" applyFill="1" applyBorder="1"/>
    <xf numFmtId="0" fontId="11" fillId="2" borderId="10" xfId="5" applyFont="1" applyFill="1" applyBorder="1"/>
    <xf numFmtId="0" fontId="11" fillId="3" borderId="16" xfId="5" applyFont="1" applyFill="1" applyBorder="1"/>
    <xf numFmtId="168" fontId="17" fillId="6" borderId="0" xfId="0" applyNumberFormat="1" applyFont="1" applyFill="1" applyAlignment="1">
      <alignment horizontal="right"/>
    </xf>
    <xf numFmtId="0" fontId="12" fillId="6" borderId="0" xfId="2" applyFont="1" applyFill="1"/>
    <xf numFmtId="0" fontId="11" fillId="2" borderId="14" xfId="5" applyFont="1" applyFill="1" applyBorder="1"/>
    <xf numFmtId="0" fontId="11" fillId="2" borderId="8" xfId="5" applyFont="1" applyFill="1" applyBorder="1" applyAlignment="1">
      <alignment horizontal="right"/>
    </xf>
    <xf numFmtId="0" fontId="11" fillId="2" borderId="12" xfId="5" applyFont="1" applyFill="1" applyBorder="1"/>
    <xf numFmtId="0" fontId="11" fillId="2" borderId="16" xfId="5" applyFont="1" applyFill="1" applyBorder="1"/>
    <xf numFmtId="0" fontId="11" fillId="6" borderId="0" xfId="5" applyFont="1" applyFill="1" applyAlignment="1">
      <alignment horizontal="right"/>
    </xf>
    <xf numFmtId="168" fontId="12" fillId="3" borderId="0" xfId="5" applyNumberFormat="1" applyFont="1" applyFill="1" applyAlignment="1">
      <alignment vertical="center"/>
    </xf>
    <xf numFmtId="10" fontId="11" fillId="3" borderId="4" xfId="5" applyNumberFormat="1" applyFont="1" applyFill="1" applyBorder="1" applyAlignment="1">
      <alignment horizontal="center"/>
    </xf>
    <xf numFmtId="0" fontId="25" fillId="7" borderId="5" xfId="2" applyFont="1" applyFill="1" applyBorder="1" applyAlignment="1">
      <alignment horizontal="left" vertical="center"/>
    </xf>
    <xf numFmtId="0" fontId="1" fillId="7" borderId="5" xfId="5" applyFont="1" applyFill="1" applyBorder="1"/>
    <xf numFmtId="0" fontId="5" fillId="7" borderId="5" xfId="5" applyFont="1" applyFill="1" applyBorder="1"/>
    <xf numFmtId="0" fontId="5" fillId="7" borderId="5" xfId="5" applyFont="1" applyFill="1" applyBorder="1" applyAlignment="1">
      <alignment horizontal="left"/>
    </xf>
    <xf numFmtId="0" fontId="1" fillId="8" borderId="13" xfId="5" applyFont="1" applyFill="1" applyBorder="1"/>
    <xf numFmtId="0" fontId="11" fillId="7" borderId="8" xfId="5" applyFont="1" applyFill="1" applyBorder="1"/>
    <xf numFmtId="0" fontId="11" fillId="7" borderId="15" xfId="5" applyFont="1" applyFill="1" applyBorder="1"/>
    <xf numFmtId="0" fontId="17" fillId="8" borderId="7" xfId="0" applyFont="1" applyFill="1" applyBorder="1" applyAlignment="1">
      <alignment horizontal="left" wrapText="1"/>
    </xf>
    <xf numFmtId="0" fontId="34" fillId="4" borderId="0" xfId="2" applyFont="1" applyFill="1"/>
    <xf numFmtId="0" fontId="16" fillId="4" borderId="0" xfId="2" applyFont="1" applyFill="1" applyAlignment="1">
      <alignment vertical="center"/>
    </xf>
    <xf numFmtId="0" fontId="36" fillId="4" borderId="0" xfId="2" applyFont="1" applyFill="1" applyAlignment="1">
      <alignment vertical="center"/>
    </xf>
    <xf numFmtId="0" fontId="36" fillId="4" borderId="0" xfId="2" applyFont="1" applyFill="1"/>
    <xf numFmtId="0" fontId="17" fillId="8" borderId="11" xfId="5" applyFont="1" applyFill="1" applyBorder="1"/>
    <xf numFmtId="0" fontId="17" fillId="8" borderId="7" xfId="5" applyFont="1" applyFill="1" applyBorder="1"/>
    <xf numFmtId="0" fontId="17" fillId="8" borderId="6" xfId="5" applyFont="1" applyFill="1" applyBorder="1"/>
    <xf numFmtId="1" fontId="19" fillId="8" borderId="6" xfId="0" applyNumberFormat="1" applyFont="1" applyFill="1" applyBorder="1" applyAlignment="1">
      <alignment horizontal="right"/>
    </xf>
    <xf numFmtId="0" fontId="1" fillId="5" borderId="27" xfId="0" applyFont="1" applyFill="1" applyBorder="1" applyAlignment="1">
      <alignment wrapText="1"/>
    </xf>
    <xf numFmtId="0" fontId="25" fillId="7" borderId="28" xfId="2" applyFont="1" applyFill="1" applyBorder="1" applyAlignment="1">
      <alignment horizontal="left" vertical="center"/>
    </xf>
    <xf numFmtId="0" fontId="25" fillId="7" borderId="29" xfId="2" applyFont="1" applyFill="1" applyBorder="1" applyAlignment="1">
      <alignment horizontal="right" vertical="center"/>
    </xf>
    <xf numFmtId="0" fontId="25" fillId="7" borderId="30" xfId="2" applyFont="1" applyFill="1" applyBorder="1" applyAlignment="1">
      <alignment horizontal="left" vertical="center"/>
    </xf>
    <xf numFmtId="0" fontId="25" fillId="7" borderId="31" xfId="2" applyFont="1" applyFill="1" applyBorder="1" applyAlignment="1">
      <alignment horizontal="right" vertical="center"/>
    </xf>
    <xf numFmtId="1" fontId="27" fillId="8" borderId="30" xfId="0" applyNumberFormat="1" applyFont="1" applyFill="1" applyBorder="1" applyAlignment="1">
      <alignment horizontal="left"/>
    </xf>
    <xf numFmtId="1" fontId="27" fillId="8" borderId="31" xfId="0" applyNumberFormat="1" applyFont="1" applyFill="1" applyBorder="1" applyAlignment="1">
      <alignment horizontal="left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top"/>
    </xf>
    <xf numFmtId="0" fontId="4" fillId="5" borderId="2" xfId="5" applyFont="1" applyFill="1" applyBorder="1" applyAlignment="1">
      <alignment horizontal="left"/>
    </xf>
    <xf numFmtId="3" fontId="0" fillId="5" borderId="2" xfId="0" applyNumberFormat="1" applyFill="1" applyBorder="1"/>
    <xf numFmtId="0" fontId="1" fillId="5" borderId="2" xfId="5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5" fillId="3" borderId="34" xfId="2" applyFont="1" applyFill="1" applyBorder="1" applyAlignment="1">
      <alignment horizontal="left" vertical="center"/>
    </xf>
    <xf numFmtId="0" fontId="1" fillId="2" borderId="0" xfId="2" applyFill="1"/>
    <xf numFmtId="4" fontId="11" fillId="2" borderId="0" xfId="2" applyNumberFormat="1" applyFont="1" applyFill="1"/>
    <xf numFmtId="4" fontId="11" fillId="2" borderId="0" xfId="2" applyNumberFormat="1" applyFont="1" applyFill="1" applyAlignment="1">
      <alignment horizontal="right"/>
    </xf>
    <xf numFmtId="0" fontId="1" fillId="0" borderId="0" xfId="2"/>
    <xf numFmtId="3" fontId="19" fillId="2" borderId="0" xfId="2" applyNumberFormat="1" applyFont="1" applyFill="1"/>
    <xf numFmtId="3" fontId="19" fillId="2" borderId="0" xfId="2" applyNumberFormat="1" applyFont="1" applyFill="1" applyAlignment="1">
      <alignment horizontal="right"/>
    </xf>
    <xf numFmtId="1" fontId="11" fillId="2" borderId="0" xfId="2" applyNumberFormat="1" applyFont="1" applyFill="1"/>
    <xf numFmtId="0" fontId="25" fillId="3" borderId="23" xfId="2" applyFont="1" applyFill="1" applyBorder="1" applyAlignment="1">
      <alignment horizontal="left" vertical="center"/>
    </xf>
    <xf numFmtId="0" fontId="25" fillId="3" borderId="24" xfId="2" applyFont="1" applyFill="1" applyBorder="1" applyAlignment="1">
      <alignment horizontal="left" vertical="center"/>
    </xf>
    <xf numFmtId="0" fontId="11" fillId="2" borderId="19" xfId="2" applyFont="1" applyFill="1" applyBorder="1"/>
    <xf numFmtId="0" fontId="0" fillId="0" borderId="2" xfId="0" applyBorder="1"/>
    <xf numFmtId="0" fontId="3" fillId="0" borderId="0" xfId="5" applyFont="1"/>
    <xf numFmtId="3" fontId="17" fillId="9" borderId="4" xfId="5" applyNumberFormat="1" applyFon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0" fontId="4" fillId="3" borderId="2" xfId="9" applyFont="1" applyFill="1" applyBorder="1" applyAlignment="1">
      <alignment vertical="top" wrapText="1"/>
    </xf>
    <xf numFmtId="0" fontId="4" fillId="3" borderId="0" xfId="9" applyFont="1" applyFill="1" applyAlignment="1">
      <alignment vertical="top" wrapText="1"/>
    </xf>
    <xf numFmtId="0" fontId="1" fillId="3" borderId="2" xfId="9" applyFill="1" applyBorder="1"/>
    <xf numFmtId="0" fontId="1" fillId="3" borderId="0" xfId="9" applyFill="1"/>
    <xf numFmtId="0" fontId="6" fillId="0" borderId="0" xfId="9" applyFont="1"/>
    <xf numFmtId="0" fontId="1" fillId="0" borderId="0" xfId="9"/>
    <xf numFmtId="0" fontId="39" fillId="3" borderId="0" xfId="9" applyFont="1" applyFill="1"/>
    <xf numFmtId="0" fontId="8" fillId="0" borderId="0" xfId="9" applyFont="1"/>
    <xf numFmtId="0" fontId="40" fillId="0" borderId="0" xfId="9" applyFont="1"/>
    <xf numFmtId="4" fontId="1" fillId="0" borderId="0" xfId="9" applyNumberFormat="1"/>
    <xf numFmtId="0" fontId="6" fillId="2" borderId="0" xfId="9" applyFont="1" applyFill="1"/>
    <xf numFmtId="0" fontId="1" fillId="2" borderId="0" xfId="10" applyFill="1" applyAlignment="1">
      <alignment horizontal="left"/>
    </xf>
    <xf numFmtId="0" fontId="1" fillId="2" borderId="0" xfId="9" applyFill="1"/>
    <xf numFmtId="164" fontId="1" fillId="0" borderId="0" xfId="9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5" applyFont="1"/>
    <xf numFmtId="0" fontId="1" fillId="0" borderId="0" xfId="0" applyFont="1"/>
    <xf numFmtId="2" fontId="1" fillId="0" borderId="2" xfId="0" applyNumberFormat="1" applyFont="1" applyBorder="1" applyAlignment="1">
      <alignment wrapText="1"/>
    </xf>
    <xf numFmtId="171" fontId="11" fillId="3" borderId="4" xfId="0" applyNumberFormat="1" applyFont="1" applyFill="1" applyBorder="1" applyAlignment="1">
      <alignment horizontal="right"/>
    </xf>
    <xf numFmtId="171" fontId="11" fillId="7" borderId="4" xfId="0" applyNumberFormat="1" applyFont="1" applyFill="1" applyBorder="1" applyAlignment="1">
      <alignment horizontal="right"/>
    </xf>
    <xf numFmtId="171" fontId="11" fillId="7" borderId="6" xfId="0" applyNumberFormat="1" applyFont="1" applyFill="1" applyBorder="1" applyAlignment="1">
      <alignment horizontal="right"/>
    </xf>
    <xf numFmtId="171" fontId="11" fillId="2" borderId="0" xfId="0" applyNumberFormat="1" applyFont="1" applyFill="1"/>
    <xf numFmtId="171" fontId="19" fillId="3" borderId="19" xfId="0" applyNumberFormat="1" applyFont="1" applyFill="1" applyBorder="1" applyAlignment="1">
      <alignment horizontal="right"/>
    </xf>
    <xf numFmtId="171" fontId="17" fillId="2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 applyAlignment="1">
      <alignment vertical="center"/>
    </xf>
    <xf numFmtId="171" fontId="17" fillId="2" borderId="4" xfId="0" applyNumberFormat="1" applyFont="1" applyFill="1" applyBorder="1" applyAlignment="1">
      <alignment vertical="center"/>
    </xf>
    <xf numFmtId="171" fontId="27" fillId="9" borderId="6" xfId="0" applyNumberFormat="1" applyFont="1" applyFill="1" applyBorder="1" applyAlignment="1">
      <alignment horizontal="right"/>
    </xf>
    <xf numFmtId="171" fontId="17" fillId="9" borderId="6" xfId="0" applyNumberFormat="1" applyFont="1" applyFill="1" applyBorder="1" applyAlignment="1">
      <alignment horizontal="right"/>
    </xf>
    <xf numFmtId="171" fontId="17" fillId="9" borderId="4" xfId="0" applyNumberFormat="1" applyFont="1" applyFill="1" applyBorder="1" applyAlignment="1">
      <alignment horizontal="right"/>
    </xf>
    <xf numFmtId="171" fontId="17" fillId="0" borderId="6" xfId="0" applyNumberFormat="1" applyFont="1" applyBorder="1" applyAlignment="1">
      <alignment vertical="center"/>
    </xf>
    <xf numFmtId="171" fontId="17" fillId="0" borderId="4" xfId="0" applyNumberFormat="1" applyFont="1" applyBorder="1" applyAlignment="1">
      <alignment vertical="center"/>
    </xf>
    <xf numFmtId="171" fontId="17" fillId="10" borderId="6" xfId="0" applyNumberFormat="1" applyFont="1" applyFill="1" applyBorder="1" applyAlignment="1">
      <alignment vertical="center"/>
    </xf>
    <xf numFmtId="171" fontId="17" fillId="10" borderId="4" xfId="0" applyNumberFormat="1" applyFont="1" applyFill="1" applyBorder="1" applyAlignment="1">
      <alignment vertical="center"/>
    </xf>
    <xf numFmtId="171" fontId="27" fillId="3" borderId="0" xfId="0" applyNumberFormat="1" applyFont="1" applyFill="1" applyAlignment="1">
      <alignment horizontal="right"/>
    </xf>
    <xf numFmtId="171" fontId="17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171" fontId="16" fillId="3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/>
    <xf numFmtId="171" fontId="27" fillId="2" borderId="4" xfId="0" applyNumberFormat="1" applyFont="1" applyFill="1" applyBorder="1"/>
    <xf numFmtId="171" fontId="17" fillId="2" borderId="4" xfId="0" applyNumberFormat="1" applyFont="1" applyFill="1" applyBorder="1"/>
    <xf numFmtId="171" fontId="27" fillId="9" borderId="4" xfId="0" applyNumberFormat="1" applyFont="1" applyFill="1" applyBorder="1"/>
    <xf numFmtId="171" fontId="4" fillId="8" borderId="0" xfId="0" applyNumberFormat="1" applyFont="1" applyFill="1"/>
    <xf numFmtId="171" fontId="4" fillId="8" borderId="13" xfId="0" applyNumberFormat="1" applyFont="1" applyFill="1" applyBorder="1"/>
    <xf numFmtId="171" fontId="19" fillId="7" borderId="5" xfId="0" applyNumberFormat="1" applyFont="1" applyFill="1" applyBorder="1" applyAlignment="1">
      <alignment horizontal="right"/>
    </xf>
    <xf numFmtId="171" fontId="27" fillId="7" borderId="10" xfId="0" applyNumberFormat="1" applyFont="1" applyFill="1" applyBorder="1"/>
    <xf numFmtId="171" fontId="31" fillId="2" borderId="4" xfId="0" applyNumberFormat="1" applyFont="1" applyFill="1" applyBorder="1"/>
    <xf numFmtId="171" fontId="17" fillId="9" borderId="4" xfId="0" applyNumberFormat="1" applyFont="1" applyFill="1" applyBorder="1"/>
    <xf numFmtId="171" fontId="31" fillId="9" borderId="4" xfId="0" applyNumberFormat="1" applyFont="1" applyFill="1" applyBorder="1"/>
    <xf numFmtId="171" fontId="17" fillId="10" borderId="4" xfId="0" applyNumberFormat="1" applyFont="1" applyFill="1" applyBorder="1"/>
    <xf numFmtId="171" fontId="31" fillId="10" borderId="4" xfId="0" applyNumberFormat="1" applyFont="1" applyFill="1" applyBorder="1"/>
    <xf numFmtId="171" fontId="27" fillId="8" borderId="0" xfId="0" applyNumberFormat="1" applyFont="1" applyFill="1"/>
    <xf numFmtId="171" fontId="27" fillId="8" borderId="0" xfId="0" applyNumberFormat="1" applyFont="1" applyFill="1" applyAlignment="1">
      <alignment horizontal="right"/>
    </xf>
    <xf numFmtId="171" fontId="17" fillId="8" borderId="0" xfId="0" applyNumberFormat="1" applyFont="1" applyFill="1" applyAlignment="1">
      <alignment horizontal="right"/>
    </xf>
    <xf numFmtId="171" fontId="17" fillId="8" borderId="13" xfId="0" applyNumberFormat="1" applyFont="1" applyFill="1" applyBorder="1" applyAlignment="1">
      <alignment horizontal="right"/>
    </xf>
    <xf numFmtId="171" fontId="19" fillId="7" borderId="0" xfId="0" applyNumberFormat="1" applyFont="1" applyFill="1" applyAlignment="1">
      <alignment horizontal="right"/>
    </xf>
    <xf numFmtId="171" fontId="27" fillId="7" borderId="13" xfId="0" applyNumberFormat="1" applyFont="1" applyFill="1" applyBorder="1"/>
    <xf numFmtId="171" fontId="11" fillId="8" borderId="0" xfId="0" applyNumberFormat="1" applyFont="1" applyFill="1"/>
    <xf numFmtId="171" fontId="11" fillId="8" borderId="13" xfId="0" applyNumberFormat="1" applyFont="1" applyFill="1" applyBorder="1"/>
    <xf numFmtId="172" fontId="17" fillId="9" borderId="4" xfId="0" applyNumberFormat="1" applyFont="1" applyFill="1" applyBorder="1" applyAlignment="1">
      <alignment horizontal="right"/>
    </xf>
    <xf numFmtId="0" fontId="27" fillId="9" borderId="4" xfId="0" applyFont="1" applyFill="1" applyBorder="1" applyAlignment="1">
      <alignment wrapText="1"/>
    </xf>
    <xf numFmtId="0" fontId="35" fillId="4" borderId="0" xfId="2" applyFont="1" applyFill="1" applyAlignment="1">
      <alignment horizontal="center" vertical="center"/>
    </xf>
    <xf numFmtId="0" fontId="33" fillId="9" borderId="25" xfId="8" applyFont="1" applyFill="1" applyBorder="1" applyAlignment="1">
      <alignment horizontal="center" vertical="center"/>
    </xf>
    <xf numFmtId="0" fontId="32" fillId="9" borderId="26" xfId="8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11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6" xfId="4" applyFont="1" applyFill="1" applyBorder="1" applyAlignment="1">
      <alignment horizontal="left" vertical="center" wrapText="1"/>
    </xf>
    <xf numFmtId="14" fontId="11" fillId="3" borderId="11" xfId="4" applyNumberFormat="1" applyFont="1" applyFill="1" applyBorder="1" applyAlignment="1">
      <alignment horizontal="left" vertical="center" wrapText="1"/>
    </xf>
    <xf numFmtId="14" fontId="11" fillId="3" borderId="7" xfId="4" applyNumberFormat="1" applyFont="1" applyFill="1" applyBorder="1" applyAlignment="1">
      <alignment horizontal="left" vertical="center" wrapText="1"/>
    </xf>
    <xf numFmtId="14" fontId="11" fillId="3" borderId="6" xfId="4" applyNumberFormat="1" applyFont="1" applyFill="1" applyBorder="1" applyAlignment="1">
      <alignment horizontal="left" vertical="center" wrapText="1"/>
    </xf>
    <xf numFmtId="0" fontId="31" fillId="9" borderId="0" xfId="0" applyFont="1" applyFill="1" applyAlignment="1">
      <alignment horizontal="left" wrapText="1"/>
    </xf>
    <xf numFmtId="0" fontId="31" fillId="9" borderId="13" xfId="0" applyFont="1" applyFill="1" applyBorder="1" applyAlignment="1">
      <alignment horizontal="left" wrapText="1"/>
    </xf>
    <xf numFmtId="0" fontId="18" fillId="4" borderId="0" xfId="2" applyFont="1" applyFill="1" applyAlignment="1">
      <alignment horizontal="center" vertical="center"/>
    </xf>
    <xf numFmtId="0" fontId="31" fillId="9" borderId="4" xfId="0" applyFont="1" applyFill="1" applyBorder="1" applyAlignment="1">
      <alignment wrapText="1"/>
    </xf>
    <xf numFmtId="0" fontId="11" fillId="3" borderId="11" xfId="4" applyFont="1" applyFill="1" applyBorder="1" applyAlignment="1">
      <alignment horizontal="left" wrapText="1"/>
    </xf>
    <xf numFmtId="0" fontId="11" fillId="3" borderId="7" xfId="4" applyFont="1" applyFill="1" applyBorder="1" applyAlignment="1">
      <alignment horizontal="left" wrapText="1"/>
    </xf>
    <xf numFmtId="0" fontId="11" fillId="3" borderId="6" xfId="4" applyFont="1" applyFill="1" applyBorder="1" applyAlignment="1">
      <alignment horizontal="left" wrapText="1"/>
    </xf>
    <xf numFmtId="0" fontId="31" fillId="9" borderId="6" xfId="0" applyFont="1" applyFill="1" applyBorder="1" applyAlignment="1">
      <alignment wrapText="1"/>
    </xf>
    <xf numFmtId="0" fontId="17" fillId="8" borderId="0" xfId="0" applyFont="1" applyFill="1" applyAlignment="1">
      <alignment horizontal="left" wrapText="1"/>
    </xf>
    <xf numFmtId="0" fontId="27" fillId="9" borderId="5" xfId="0" applyFont="1" applyFill="1" applyBorder="1" applyAlignment="1">
      <alignment horizontal="left" wrapText="1"/>
    </xf>
    <xf numFmtId="0" fontId="24" fillId="4" borderId="0" xfId="2" applyFont="1" applyFill="1" applyAlignment="1">
      <alignment horizontal="left" vertical="top"/>
    </xf>
    <xf numFmtId="0" fontId="11" fillId="3" borderId="0" xfId="4" applyFont="1" applyFill="1" applyAlignment="1">
      <alignment horizontal="left" vertical="center" wrapText="1"/>
    </xf>
    <xf numFmtId="167" fontId="11" fillId="3" borderId="4" xfId="2" applyNumberFormat="1" applyFont="1" applyFill="1" applyBorder="1" applyAlignment="1">
      <alignment horizontal="left"/>
    </xf>
    <xf numFmtId="170" fontId="11" fillId="3" borderId="0" xfId="4" applyNumberFormat="1" applyFont="1" applyFill="1" applyAlignment="1">
      <alignment horizontal="left" vertical="center" wrapText="1"/>
    </xf>
    <xf numFmtId="14" fontId="11" fillId="3" borderId="0" xfId="4" applyNumberFormat="1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9" fillId="7" borderId="5" xfId="0" applyFont="1" applyFill="1" applyBorder="1" applyAlignment="1">
      <alignment horizontal="left" wrapText="1"/>
    </xf>
    <xf numFmtId="0" fontId="19" fillId="7" borderId="10" xfId="0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vertical="center"/>
    </xf>
    <xf numFmtId="0" fontId="17" fillId="2" borderId="0" xfId="2" applyFont="1" applyFill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2" borderId="7" xfId="2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wrapText="1"/>
    </xf>
    <xf numFmtId="3" fontId="11" fillId="3" borderId="11" xfId="0" applyNumberFormat="1" applyFont="1" applyFill="1" applyBorder="1" applyAlignment="1">
      <alignment horizontal="left" vertical="center"/>
    </xf>
    <xf numFmtId="3" fontId="11" fillId="3" borderId="7" xfId="0" applyNumberFormat="1" applyFont="1" applyFill="1" applyBorder="1" applyAlignment="1">
      <alignment horizontal="left" vertical="center"/>
    </xf>
    <xf numFmtId="3" fontId="11" fillId="3" borderId="6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0" fontId="3" fillId="3" borderId="33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/>
    </xf>
    <xf numFmtId="0" fontId="3" fillId="3" borderId="33" xfId="0" applyFont="1" applyFill="1" applyBorder="1" applyAlignment="1">
      <alignment horizontal="left" vertical="top"/>
    </xf>
  </cellXfs>
  <cellStyles count="11">
    <cellStyle name="Hyperlink" xfId="8" xr:uid="{00000000-0005-0000-0000-000000000000}"/>
    <cellStyle name="Prozent" xfId="6" xr:uid="{00000000-0005-0000-0000-000001000000}"/>
    <cellStyle name="Prozent 2" xfId="7" xr:uid="{00000000-0005-0000-0000-000002000000}"/>
    <cellStyle name="Standard" xfId="0" builtinId="0"/>
    <cellStyle name="Standard 2" xfId="1" xr:uid="{00000000-0005-0000-0000-000004000000}"/>
    <cellStyle name="Standard 3" xfId="9" xr:uid="{00000000-0005-0000-0000-000005000000}"/>
    <cellStyle name="Standard_Instore-Redemption" xfId="2" xr:uid="{00000000-0005-0000-0000-000006000000}"/>
    <cellStyle name="Standard_Instore-Redemption 2" xfId="10" xr:uid="{00000000-0005-0000-0000-000007000000}"/>
    <cellStyle name="Standard_Instore-Redemption 3" xfId="3" xr:uid="{00000000-0005-0000-0000-000008000000}"/>
    <cellStyle name="Standard_Kalk1 (2)" xfId="4" xr:uid="{00000000-0005-0000-0000-000009000000}"/>
    <cellStyle name="Standard_Wirtschaftlichkeitsrechnung_73 Filialen" xfId="5" xr:uid="{00000000-0005-0000-0000-00000A000000}"/>
  </cellStyles>
  <dxfs count="19">
    <dxf>
      <font>
        <color theme="0"/>
      </font>
    </dxf>
    <dxf>
      <fill>
        <patternFill>
          <bgColor indexed="22"/>
        </patternFill>
      </fill>
    </dxf>
    <dxf>
      <font>
        <color theme="0"/>
      </font>
    </dxf>
    <dxf>
      <font>
        <color theme="0"/>
      </font>
    </dxf>
    <dxf>
      <fill>
        <patternFill>
          <bgColor indexed="6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1F5DB7"/>
      <rgbColor rgb="00FFFF00"/>
      <rgbColor rgb="00FF00FF"/>
      <rgbColor rgb="0000FFFF"/>
      <rgbColor rgb="00800000"/>
      <rgbColor rgb="00008000"/>
      <rgbColor rgb="00E2001A"/>
      <rgbColor rgb="00808000"/>
      <rgbColor rgb="00F9DC4F"/>
      <rgbColor rgb="00008080"/>
      <rgbColor rgb="00BBBCBC"/>
      <rgbColor rgb="00787B7C"/>
      <rgbColor rgb="00707070"/>
      <rgbColor rgb="00A9A9A9"/>
      <rgbColor rgb="00C6C6C6"/>
      <rgbColor rgb="004579AF"/>
      <rgbColor rgb="006C89B0"/>
      <rgbColor rgb="008FA2C2"/>
      <rgbColor rgb="00B2BED5"/>
      <rgbColor rgb="00ED0000"/>
      <rgbColor rgb="00F4841E"/>
      <rgbColor rgb="00F6B976"/>
      <rgbColor rgb="00FBDB84"/>
      <rgbColor rgb="00FDE7AD"/>
      <rgbColor rgb="00FDE69D"/>
      <rgbColor rgb="00FFFFFF"/>
      <rgbColor rgb="00008080"/>
      <rgbColor rgb="000000FF"/>
      <rgbColor rgb="00A9B6DB"/>
      <rgbColor rgb="00CCFFFF"/>
      <rgbColor rgb="00CCFFCC"/>
      <rgbColor rgb="00FFFF99"/>
      <rgbColor rgb="00CAD3EE"/>
      <rgbColor rgb="00FF99CC"/>
      <rgbColor rgb="00FCEDA7"/>
      <rgbColor rgb="00FFCC99"/>
      <rgbColor rgb="006C94D6"/>
      <rgbColor rgb="0033CCCC"/>
      <rgbColor rgb="0099CC00"/>
      <rgbColor rgb="00FFCC00"/>
      <rgbColor rgb="00FF9900"/>
      <rgbColor rgb="00FF6600"/>
      <rgbColor rgb="00F7D323"/>
      <rgbColor rgb="009A9C9D"/>
      <rgbColor rgb="00C0C0C0"/>
      <rgbColor rgb="00339966"/>
      <rgbColor rgb="00004171"/>
      <rgbColor rgb="00FCC51D"/>
      <rgbColor rgb="00993300"/>
      <rgbColor rgb="00FAE57B"/>
      <rgbColor rgb="00FF5B00"/>
      <rgbColor rgb="00565A5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86707048096156E-2"/>
          <c:y val="4.2514903458849819E-2"/>
          <c:w val="0.78205105564405619"/>
          <c:h val="0.94137283334632671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Summary!$I$41:$R$41</c:f>
              <c:numCache>
                <c:formatCode>#,##0;[Red]\(#,##0\);\-</c:formatCode>
                <c:ptCount val="10"/>
                <c:pt idx="0">
                  <c:v>-83089.736709224977</c:v>
                </c:pt>
                <c:pt idx="1">
                  <c:v>-23765.231187397039</c:v>
                </c:pt>
                <c:pt idx="2">
                  <c:v>179694.67595633931</c:v>
                </c:pt>
                <c:pt idx="3">
                  <c:v>577352.74253850675</c:v>
                </c:pt>
                <c:pt idx="4">
                  <c:v>914058.331747249</c:v>
                </c:pt>
                <c:pt idx="5">
                  <c:v>1241123.8292223862</c:v>
                </c:pt>
                <c:pt idx="6">
                  <c:v>1558403.5173448671</c:v>
                </c:pt>
                <c:pt idx="7">
                  <c:v>1895441.0995597078</c:v>
                </c:pt>
                <c:pt idx="8">
                  <c:v>2246521.1727517266</c:v>
                </c:pt>
                <c:pt idx="9">
                  <c:v>2578322.1414758675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C6-4D5C-BAAE-EEEE69167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200384"/>
        <c:crosses val="autoZero"/>
        <c:auto val="1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;[Red]\(#,##0\);\-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 flipV="1">
          <a:off x="342900" y="364331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4" name="/xl/media/image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42875" y="104775"/>
          <a:ext cx="2524125" cy="54292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28575" y="28575"/>
          <a:ext cx="2524125" cy="7239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114300" y="85725"/>
          <a:ext cx="4181475" cy="4095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142874" y="133351"/>
          <a:ext cx="5238751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Grp="1"/>
        </xdr:cNvSpPr>
      </xdr:nvSpPr>
      <xdr:spPr>
        <a:xfrm>
          <a:off x="66674" y="666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Grp="1"/>
        </xdr:cNvSpPr>
      </xdr:nvSpPr>
      <xdr:spPr>
        <a:xfrm>
          <a:off x="114300" y="1047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40"/>
  <sheetViews>
    <sheetView tabSelected="1" workbookViewId="0"/>
  </sheetViews>
  <sheetFormatPr baseColWidth="10" defaultColWidth="9.109375" defaultRowHeight="13.2" x14ac:dyDescent="0.25"/>
  <cols>
    <col min="1" max="1" width="25.6640625" style="8" customWidth="1"/>
    <col min="2" max="2" width="10.88671875" style="8" customWidth="1"/>
    <col min="3" max="3" width="14.44140625" style="8" customWidth="1"/>
    <col min="4" max="5" width="9.109375" style="8"/>
    <col min="6" max="6" width="11.109375" style="8" customWidth="1"/>
    <col min="7" max="16384" width="9.109375" style="8"/>
  </cols>
  <sheetData>
    <row r="1" spans="1:6" x14ac:dyDescent="0.25">
      <c r="A1" s="17" t="s">
        <v>199</v>
      </c>
      <c r="B1" s="17" t="s">
        <v>0</v>
      </c>
      <c r="C1" s="17" t="s">
        <v>1</v>
      </c>
      <c r="F1" s="17" t="s">
        <v>2</v>
      </c>
    </row>
    <row r="2" spans="1:6" x14ac:dyDescent="0.25">
      <c r="A2" s="9" t="s">
        <v>3</v>
      </c>
      <c r="B2" s="18">
        <v>0.25</v>
      </c>
      <c r="C2" s="18">
        <v>5.4816128388915059E-2</v>
      </c>
      <c r="F2" s="9">
        <v>2017</v>
      </c>
    </row>
    <row r="3" spans="1:6" x14ac:dyDescent="0.25">
      <c r="A3" s="9" t="s">
        <v>4</v>
      </c>
      <c r="B3" s="18">
        <v>0.33989999999999998</v>
      </c>
      <c r="C3" s="18">
        <v>5.6456071922248392E-2</v>
      </c>
      <c r="F3" s="9">
        <f>F2+1</f>
        <v>2018</v>
      </c>
    </row>
    <row r="4" spans="1:6" x14ac:dyDescent="0.25">
      <c r="A4" s="9" t="s">
        <v>5</v>
      </c>
      <c r="B4" s="18">
        <v>0.1</v>
      </c>
      <c r="C4" s="18">
        <v>7.5810782555581727E-2</v>
      </c>
      <c r="F4" s="9">
        <f>F3+1</f>
        <v>2019</v>
      </c>
    </row>
    <row r="5" spans="1:6" x14ac:dyDescent="0.25">
      <c r="A5" s="9" t="s">
        <v>6</v>
      </c>
      <c r="B5" s="18">
        <v>0.25</v>
      </c>
      <c r="C5" s="18">
        <v>5.7104545055581726E-2</v>
      </c>
      <c r="F5" s="9">
        <f t="shared" ref="F5:F39" si="0">F4+1</f>
        <v>2020</v>
      </c>
    </row>
    <row r="6" spans="1:6" x14ac:dyDescent="0.25">
      <c r="A6" s="19" t="s">
        <v>200</v>
      </c>
      <c r="B6" s="18">
        <v>0.26938686929014782</v>
      </c>
      <c r="C6" s="18">
        <v>5.8104424896679725E-2</v>
      </c>
      <c r="F6" s="9">
        <f t="shared" si="0"/>
        <v>2021</v>
      </c>
    </row>
    <row r="7" spans="1:6" x14ac:dyDescent="0.25">
      <c r="A7" s="9" t="s">
        <v>7</v>
      </c>
      <c r="B7" s="18">
        <v>0.2</v>
      </c>
      <c r="C7" s="18">
        <v>8.4555324222248388E-2</v>
      </c>
      <c r="F7" s="9">
        <f t="shared" si="0"/>
        <v>2022</v>
      </c>
    </row>
    <row r="8" spans="1:6" x14ac:dyDescent="0.25">
      <c r="A8" s="9" t="s">
        <v>8</v>
      </c>
      <c r="B8" s="18">
        <v>0.19</v>
      </c>
      <c r="C8" s="18">
        <v>5.832484005558173E-2</v>
      </c>
      <c r="F8" s="9">
        <f t="shared" si="0"/>
        <v>2023</v>
      </c>
    </row>
    <row r="9" spans="1:6" x14ac:dyDescent="0.25">
      <c r="A9" s="9" t="s">
        <v>9</v>
      </c>
      <c r="B9" s="18">
        <v>0.23499999999999999</v>
      </c>
      <c r="C9" s="18">
        <v>5.3040793805581729E-2</v>
      </c>
      <c r="F9" s="9">
        <f t="shared" si="0"/>
        <v>2024</v>
      </c>
    </row>
    <row r="10" spans="1:6" x14ac:dyDescent="0.25">
      <c r="A10" s="9" t="s">
        <v>10</v>
      </c>
      <c r="B10" s="18">
        <v>0.25</v>
      </c>
      <c r="C10" s="18">
        <v>9.5867045055581732E-2</v>
      </c>
      <c r="F10" s="9">
        <f t="shared" si="0"/>
        <v>2025</v>
      </c>
    </row>
    <row r="11" spans="1:6" x14ac:dyDescent="0.25">
      <c r="A11" s="9" t="s">
        <v>11</v>
      </c>
      <c r="B11" s="18">
        <v>0.38</v>
      </c>
      <c r="C11" s="18">
        <v>5.3739129222248383E-2</v>
      </c>
      <c r="F11" s="9">
        <f t="shared" si="0"/>
        <v>2026</v>
      </c>
    </row>
    <row r="12" spans="1:6" x14ac:dyDescent="0.25">
      <c r="A12" s="9" t="s">
        <v>12</v>
      </c>
      <c r="B12" s="18">
        <v>0.30530000000000002</v>
      </c>
      <c r="C12" s="18">
        <v>5.0259167997248395E-2</v>
      </c>
      <c r="F12" s="9">
        <f t="shared" si="0"/>
        <v>2027</v>
      </c>
    </row>
    <row r="13" spans="1:6" x14ac:dyDescent="0.25">
      <c r="A13" s="9" t="s">
        <v>13</v>
      </c>
      <c r="B13" s="18">
        <v>0.26</v>
      </c>
      <c r="C13" s="18">
        <v>0.12151507922224838</v>
      </c>
      <c r="F13" s="9">
        <f t="shared" si="0"/>
        <v>2028</v>
      </c>
    </row>
    <row r="14" spans="1:6" x14ac:dyDescent="0.25">
      <c r="A14" s="9" t="s">
        <v>14</v>
      </c>
      <c r="B14" s="18">
        <v>0.16500000000000001</v>
      </c>
      <c r="C14" s="18">
        <v>5.246420463891506E-2</v>
      </c>
      <c r="F14" s="9">
        <f t="shared" si="0"/>
        <v>2029</v>
      </c>
    </row>
    <row r="15" spans="1:6" x14ac:dyDescent="0.25">
      <c r="A15" s="9" t="s">
        <v>15</v>
      </c>
      <c r="B15" s="18">
        <v>0.19</v>
      </c>
      <c r="C15" s="18">
        <v>7.0729403555581716E-2</v>
      </c>
      <c r="F15" s="9">
        <f t="shared" si="0"/>
        <v>2030</v>
      </c>
    </row>
    <row r="16" spans="1:6" x14ac:dyDescent="0.25">
      <c r="A16" s="9" t="s">
        <v>16</v>
      </c>
      <c r="B16" s="18">
        <v>0.309</v>
      </c>
      <c r="C16" s="18">
        <v>6.2038486736915061E-2</v>
      </c>
      <c r="F16" s="9">
        <f t="shared" si="0"/>
        <v>2031</v>
      </c>
    </row>
    <row r="17" spans="1:6" x14ac:dyDescent="0.25">
      <c r="A17" s="9" t="s">
        <v>17</v>
      </c>
      <c r="B17" s="18">
        <v>0.25</v>
      </c>
      <c r="C17" s="18">
        <v>7.185179505558173E-2</v>
      </c>
      <c r="F17" s="9">
        <f t="shared" si="0"/>
        <v>2032</v>
      </c>
    </row>
    <row r="18" spans="1:6" x14ac:dyDescent="0.25">
      <c r="A18" s="9" t="s">
        <v>18</v>
      </c>
      <c r="B18" s="18">
        <v>0.314</v>
      </c>
      <c r="C18" s="18">
        <v>6.9931950222248393E-2</v>
      </c>
      <c r="F18" s="9">
        <f t="shared" si="0"/>
        <v>2033</v>
      </c>
    </row>
    <row r="19" spans="1:6" x14ac:dyDescent="0.25">
      <c r="A19" s="9" t="s">
        <v>19</v>
      </c>
      <c r="B19" s="18">
        <v>0.3306</v>
      </c>
      <c r="C19" s="18">
        <v>5.2422211066115061E-2</v>
      </c>
      <c r="F19" s="9">
        <f t="shared" si="0"/>
        <v>2034</v>
      </c>
    </row>
    <row r="20" spans="1:6" x14ac:dyDescent="0.25">
      <c r="A20" s="9" t="s">
        <v>20</v>
      </c>
      <c r="B20" s="18">
        <v>0.2</v>
      </c>
      <c r="C20" s="18">
        <v>7.5472434222248391E-2</v>
      </c>
      <c r="F20" s="9">
        <f t="shared" si="0"/>
        <v>2035</v>
      </c>
    </row>
    <row r="21" spans="1:6" x14ac:dyDescent="0.25">
      <c r="A21" s="9" t="s">
        <v>21</v>
      </c>
      <c r="B21" s="18"/>
      <c r="C21" s="18"/>
      <c r="F21" s="9">
        <f t="shared" si="0"/>
        <v>2036</v>
      </c>
    </row>
    <row r="22" spans="1:6" x14ac:dyDescent="0.25">
      <c r="A22" s="9" t="s">
        <v>22</v>
      </c>
      <c r="B22" s="18">
        <v>0.25</v>
      </c>
      <c r="C22" s="18">
        <v>5.6630342305581727E-2</v>
      </c>
      <c r="F22" s="9">
        <f t="shared" si="0"/>
        <v>2037</v>
      </c>
    </row>
    <row r="23" spans="1:6" x14ac:dyDescent="0.25">
      <c r="A23" s="9" t="s">
        <v>23</v>
      </c>
      <c r="B23" s="18">
        <v>0.12</v>
      </c>
      <c r="C23" s="18">
        <v>0.10145742352891506</v>
      </c>
      <c r="F23" s="9">
        <f t="shared" si="0"/>
        <v>2038</v>
      </c>
    </row>
    <row r="24" spans="1:6" x14ac:dyDescent="0.25">
      <c r="A24" s="9" t="s">
        <v>24</v>
      </c>
      <c r="B24" s="18">
        <v>0.25</v>
      </c>
      <c r="C24" s="18">
        <v>5.3516461722248394E-2</v>
      </c>
      <c r="F24" s="9">
        <f t="shared" si="0"/>
        <v>2039</v>
      </c>
    </row>
    <row r="25" spans="1:6" x14ac:dyDescent="0.25">
      <c r="A25" s="9" t="s">
        <v>25</v>
      </c>
      <c r="B25" s="18">
        <v>0.32</v>
      </c>
      <c r="C25" s="18">
        <v>9.4380134222248405E-2</v>
      </c>
      <c r="F25" s="9">
        <f t="shared" si="0"/>
        <v>2040</v>
      </c>
    </row>
    <row r="26" spans="1:6" x14ac:dyDescent="0.25">
      <c r="A26" s="9" t="s">
        <v>26</v>
      </c>
      <c r="B26" s="18">
        <v>0.3</v>
      </c>
      <c r="C26" s="18">
        <v>6.0270465888915062E-2</v>
      </c>
      <c r="F26" s="9">
        <f t="shared" si="0"/>
        <v>2041</v>
      </c>
    </row>
    <row r="27" spans="1:6" x14ac:dyDescent="0.25">
      <c r="A27" s="9" t="s">
        <v>27</v>
      </c>
      <c r="B27" s="18">
        <v>0.19</v>
      </c>
      <c r="C27" s="18">
        <v>6.2366298555581734E-2</v>
      </c>
      <c r="F27" s="9">
        <f t="shared" si="0"/>
        <v>2042</v>
      </c>
    </row>
    <row r="28" spans="1:6" x14ac:dyDescent="0.25">
      <c r="A28" s="9" t="s">
        <v>28</v>
      </c>
      <c r="B28" s="18">
        <v>0.22500000000000001</v>
      </c>
      <c r="C28" s="18">
        <v>9.3907470055581727E-2</v>
      </c>
      <c r="F28" s="9">
        <f t="shared" si="0"/>
        <v>2043</v>
      </c>
    </row>
    <row r="29" spans="1:6" x14ac:dyDescent="0.25">
      <c r="A29" s="9" t="s">
        <v>29</v>
      </c>
      <c r="B29" s="18">
        <v>0.16</v>
      </c>
      <c r="C29" s="18">
        <v>7.3951187555581721E-2</v>
      </c>
      <c r="F29" s="9">
        <f t="shared" si="0"/>
        <v>2044</v>
      </c>
    </row>
    <row r="30" spans="1:6" x14ac:dyDescent="0.25">
      <c r="A30" s="9" t="s">
        <v>30</v>
      </c>
      <c r="B30" s="18">
        <v>0.2</v>
      </c>
      <c r="C30" s="18">
        <v>7.3235124222248399E-2</v>
      </c>
      <c r="F30" s="9">
        <f t="shared" si="0"/>
        <v>2045</v>
      </c>
    </row>
    <row r="31" spans="1:6" x14ac:dyDescent="0.25">
      <c r="A31" s="9" t="s">
        <v>31</v>
      </c>
      <c r="B31" s="18">
        <v>0.15</v>
      </c>
      <c r="C31" s="18">
        <v>8.5361703388915064E-2</v>
      </c>
      <c r="F31" s="9">
        <f t="shared" si="0"/>
        <v>2046</v>
      </c>
    </row>
    <row r="32" spans="1:6" x14ac:dyDescent="0.25">
      <c r="A32" s="9" t="s">
        <v>32</v>
      </c>
      <c r="B32" s="18">
        <v>0.17</v>
      </c>
      <c r="C32" s="18">
        <v>5.2385621722248393E-2</v>
      </c>
      <c r="F32" s="9">
        <f t="shared" si="0"/>
        <v>2047</v>
      </c>
    </row>
    <row r="33" spans="1:6" x14ac:dyDescent="0.25">
      <c r="A33" s="9" t="s">
        <v>33</v>
      </c>
      <c r="B33" s="18">
        <v>0.22</v>
      </c>
      <c r="C33" s="18">
        <v>6.0149429222248391E-2</v>
      </c>
      <c r="F33" s="9">
        <f t="shared" si="0"/>
        <v>2048</v>
      </c>
    </row>
    <row r="34" spans="1:6" x14ac:dyDescent="0.25">
      <c r="A34" s="9" t="s">
        <v>34</v>
      </c>
      <c r="B34" s="18">
        <v>0.28000000000000003</v>
      </c>
      <c r="C34" s="18">
        <v>7.130439422224838E-2</v>
      </c>
      <c r="F34" s="9">
        <f t="shared" si="0"/>
        <v>2049</v>
      </c>
    </row>
    <row r="35" spans="1:6" x14ac:dyDescent="0.25">
      <c r="A35" s="9" t="s">
        <v>35</v>
      </c>
      <c r="B35" s="18"/>
      <c r="C35" s="18"/>
      <c r="F35" s="9">
        <f t="shared" si="0"/>
        <v>2050</v>
      </c>
    </row>
    <row r="36" spans="1:6" x14ac:dyDescent="0.25">
      <c r="A36" s="9" t="s">
        <v>36</v>
      </c>
      <c r="B36" s="18">
        <v>0.2</v>
      </c>
      <c r="C36" s="18">
        <v>5.9521124622248393E-2</v>
      </c>
      <c r="F36" s="9">
        <f t="shared" si="0"/>
        <v>2051</v>
      </c>
    </row>
    <row r="37" spans="1:6" x14ac:dyDescent="0.25">
      <c r="A37" s="9" t="s">
        <v>37</v>
      </c>
      <c r="B37" s="18">
        <v>0.2</v>
      </c>
      <c r="C37" s="18">
        <v>7.4621124222248397E-2</v>
      </c>
      <c r="F37" s="9">
        <f t="shared" si="0"/>
        <v>2052</v>
      </c>
    </row>
    <row r="38" spans="1:6" x14ac:dyDescent="0.25">
      <c r="A38" s="9" t="s">
        <v>38</v>
      </c>
      <c r="B38" s="18">
        <v>0.18</v>
      </c>
      <c r="C38" s="18">
        <v>0.11474545588891508</v>
      </c>
      <c r="F38" s="9">
        <f t="shared" si="0"/>
        <v>2053</v>
      </c>
    </row>
    <row r="39" spans="1:6" x14ac:dyDescent="0.25">
      <c r="A39" s="9" t="s">
        <v>39</v>
      </c>
      <c r="B39" s="18">
        <v>0.22</v>
      </c>
      <c r="C39" s="18">
        <v>9.7343478555581731E-2</v>
      </c>
      <c r="F39" s="9">
        <f t="shared" si="0"/>
        <v>2054</v>
      </c>
    </row>
    <row r="40" spans="1:6" x14ac:dyDescent="0.25">
      <c r="B40" s="16"/>
      <c r="C4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37"/>
  <sheetViews>
    <sheetView workbookViewId="0"/>
  </sheetViews>
  <sheetFormatPr baseColWidth="10" defaultRowHeight="13.2" x14ac:dyDescent="0.25"/>
  <cols>
    <col min="1" max="1" width="5.5546875" customWidth="1"/>
    <col min="2" max="2" width="40.44140625" customWidth="1"/>
    <col min="3" max="3" width="21" customWidth="1"/>
    <col min="4" max="4" width="17" customWidth="1"/>
    <col min="5" max="5" width="13" customWidth="1"/>
    <col min="6" max="6" width="11.5546875" customWidth="1"/>
    <col min="7" max="7" width="10.88671875" customWidth="1"/>
    <col min="8" max="8" width="13.88671875" customWidth="1"/>
  </cols>
  <sheetData>
    <row r="1" spans="1:14" s="1" customFormat="1" ht="10.199999999999999" customHeight="1" x14ac:dyDescent="0.25">
      <c r="A1" s="260">
        <v>0</v>
      </c>
      <c r="B1" s="26" t="s">
        <v>40</v>
      </c>
      <c r="C1" s="27" t="s">
        <v>41</v>
      </c>
      <c r="D1" s="28" t="s">
        <v>42</v>
      </c>
      <c r="E1" s="29">
        <f>'Costs &amp; Benefits'!J31</f>
        <v>2026</v>
      </c>
      <c r="F1" s="29">
        <f>'Costs &amp; Benefits'!K31</f>
        <v>2027</v>
      </c>
      <c r="G1" s="29">
        <f>'Costs &amp; Benefits'!L31</f>
        <v>2028</v>
      </c>
      <c r="H1" s="29">
        <f>'Costs &amp; Benefits'!M31</f>
        <v>2029</v>
      </c>
      <c r="I1" s="29">
        <f>'Costs &amp; Benefits'!N31</f>
        <v>2030</v>
      </c>
      <c r="J1" s="29">
        <f>'Costs &amp; Benefits'!O31</f>
        <v>2031</v>
      </c>
      <c r="K1" s="29">
        <f>'Costs &amp; Benefits'!P31</f>
        <v>2032</v>
      </c>
      <c r="L1" s="29">
        <f>'Costs &amp; Benefits'!Q31</f>
        <v>2033</v>
      </c>
      <c r="M1" s="29">
        <f>'Costs &amp; Benefits'!R31</f>
        <v>2034</v>
      </c>
      <c r="N1" s="29">
        <f>'Costs &amp; Benefits'!S31</f>
        <v>2035</v>
      </c>
    </row>
    <row r="2" spans="1:14" s="1" customFormat="1" ht="10.199999999999999" customHeight="1" x14ac:dyDescent="0.25">
      <c r="A2" s="260">
        <v>1</v>
      </c>
      <c r="B2" s="25" t="s">
        <v>43</v>
      </c>
      <c r="C2" s="21" t="str">
        <f>'Costs &amp; Benefits'!H19</f>
        <v>One-Off</v>
      </c>
      <c r="D2" s="21" t="str">
        <f>'Costs &amp; Benefits'!I19</f>
        <v>Synthetic internal solution and test-design effort</v>
      </c>
      <c r="E2" s="22">
        <f>IF('Costs &amp; Benefits'!J19,'Costs &amp; Benefits'!J19,"")</f>
        <v>150000</v>
      </c>
      <c r="F2" s="22" t="str">
        <f>IF('Costs &amp; Benefits'!K19,'Costs &amp; Benefits'!K19,"")</f>
        <v/>
      </c>
      <c r="G2" s="22" t="str">
        <f>IF('Costs &amp; Benefits'!L19,'Costs &amp; Benefits'!L19,"")</f>
        <v/>
      </c>
      <c r="H2" s="22" t="str">
        <f>IF('Costs &amp; Benefits'!M19,'Costs &amp; Benefits'!M19,"")</f>
        <v/>
      </c>
      <c r="I2" s="22" t="str">
        <f>IF('Costs &amp; Benefits'!N19,'Costs &amp; Benefits'!N19,"")</f>
        <v/>
      </c>
      <c r="J2" s="22" t="str">
        <f>IF('Costs &amp; Benefits'!O19,'Costs &amp; Benefits'!O19,"")</f>
        <v/>
      </c>
      <c r="K2" s="22" t="str">
        <f>IF('Costs &amp; Benefits'!P19,'Costs &amp; Benefits'!P19,"")</f>
        <v/>
      </c>
      <c r="L2" s="22" t="str">
        <f>IF('Costs &amp; Benefits'!Q19,'Costs &amp; Benefits'!Q19,"")</f>
        <v/>
      </c>
      <c r="M2" s="22" t="str">
        <f>IF('Costs &amp; Benefits'!R19,'Costs &amp; Benefits'!R19,"")</f>
        <v/>
      </c>
      <c r="N2" s="22" t="str">
        <f>IF('Costs &amp; Benefits'!S19,'Costs &amp; Benefits'!S19,"")</f>
        <v/>
      </c>
    </row>
    <row r="3" spans="1:14" s="1" customFormat="1" ht="10.199999999999999" customHeight="1" x14ac:dyDescent="0.25">
      <c r="A3" s="260">
        <v>2</v>
      </c>
      <c r="B3" s="234" t="s">
        <v>44</v>
      </c>
      <c r="C3" s="21" t="str">
        <f>'Costs &amp; Benefits'!H20</f>
        <v>One-Off</v>
      </c>
      <c r="D3" s="21" t="str">
        <f>'Costs &amp; Benefits'!I20</f>
        <v>Synthetic external implementation effort</v>
      </c>
      <c r="E3" s="22">
        <f>IF('Costs &amp; Benefits'!J20,'Costs &amp; Benefits'!J20,"")</f>
        <v>250000</v>
      </c>
      <c r="F3" s="22" t="str">
        <f>IF('Costs &amp; Benefits'!K20,'Costs &amp; Benefits'!K20,"")</f>
        <v/>
      </c>
      <c r="G3" s="22" t="str">
        <f>IF('Costs &amp; Benefits'!L20,'Costs &amp; Benefits'!L20,"")</f>
        <v/>
      </c>
      <c r="H3" s="22" t="str">
        <f>IF('Costs &amp; Benefits'!M20,'Costs &amp; Benefits'!M20,"")</f>
        <v/>
      </c>
      <c r="I3" s="22" t="str">
        <f>IF('Costs &amp; Benefits'!N20,'Costs &amp; Benefits'!N20,"")</f>
        <v/>
      </c>
      <c r="J3" s="22" t="str">
        <f>IF('Costs &amp; Benefits'!O20,'Costs &amp; Benefits'!O20,"")</f>
        <v/>
      </c>
      <c r="K3" s="22" t="str">
        <f>IF('Costs &amp; Benefits'!P20,'Costs &amp; Benefits'!P20,"")</f>
        <v/>
      </c>
      <c r="L3" s="22" t="str">
        <f>IF('Costs &amp; Benefits'!Q20,'Costs &amp; Benefits'!Q20,"")</f>
        <v/>
      </c>
      <c r="M3" s="22" t="str">
        <f>IF('Costs &amp; Benefits'!R20,'Costs &amp; Benefits'!R20,"")</f>
        <v/>
      </c>
      <c r="N3" s="22" t="str">
        <f>IF('Costs &amp; Benefits'!S20,'Costs &amp; Benefits'!S20,"")</f>
        <v/>
      </c>
    </row>
    <row r="4" spans="1:14" s="1" customFormat="1" ht="10.199999999999999" customHeight="1" x14ac:dyDescent="0.25">
      <c r="A4" s="260">
        <v>3</v>
      </c>
      <c r="B4" s="25" t="s">
        <v>45</v>
      </c>
      <c r="C4" s="21" t="str">
        <f>'Costs &amp; Benefits'!H22</f>
        <v>One-Off</v>
      </c>
      <c r="D4" s="21" t="str">
        <f>'Costs &amp; Benefits'!I22</f>
        <v>Test integration licences and tooling</v>
      </c>
      <c r="E4" s="22">
        <f>IF('Costs &amp; Benefits'!J22,'Costs &amp; Benefits'!J22,"")</f>
        <v>50000</v>
      </c>
      <c r="F4" s="22" t="str">
        <f>IF('Costs &amp; Benefits'!K22,'Costs &amp; Benefits'!K22,"")</f>
        <v/>
      </c>
      <c r="G4" s="22" t="str">
        <f>IF('Costs &amp; Benefits'!L22,'Costs &amp; Benefits'!L22,"")</f>
        <v/>
      </c>
      <c r="H4" s="22" t="str">
        <f>IF('Costs &amp; Benefits'!M22,'Costs &amp; Benefits'!M22,"")</f>
        <v/>
      </c>
      <c r="I4" s="22" t="str">
        <f>IF('Costs &amp; Benefits'!N22,'Costs &amp; Benefits'!N22,"")</f>
        <v/>
      </c>
      <c r="J4" s="22" t="str">
        <f>IF('Costs &amp; Benefits'!O22,'Costs &amp; Benefits'!O22,"")</f>
        <v/>
      </c>
      <c r="K4" s="22" t="str">
        <f>IF('Costs &amp; Benefits'!P22,'Costs &amp; Benefits'!P22,"")</f>
        <v/>
      </c>
      <c r="L4" s="22" t="str">
        <f>IF('Costs &amp; Benefits'!Q22,'Costs &amp; Benefits'!Q22,"")</f>
        <v/>
      </c>
      <c r="M4" s="22" t="str">
        <f>IF('Costs &amp; Benefits'!R22,'Costs &amp; Benefits'!R22,"")</f>
        <v/>
      </c>
      <c r="N4" s="22" t="str">
        <f>IF('Costs &amp; Benefits'!S22,'Costs &amp; Benefits'!S22,"")</f>
        <v/>
      </c>
    </row>
    <row r="5" spans="1:14" s="1" customFormat="1" ht="10.199999999999999" customHeight="1" x14ac:dyDescent="0.25">
      <c r="A5" s="260">
        <v>4</v>
      </c>
      <c r="B5" s="25" t="s">
        <v>46</v>
      </c>
      <c r="C5" s="21" t="str">
        <f>'Costs &amp; Benefits'!H24</f>
        <v>One-Off</v>
      </c>
      <c r="D5" s="21" t="str">
        <f>'Costs &amp; Benefits'!I24</f>
        <v>Synthetic test-environment setup</v>
      </c>
      <c r="E5" s="22">
        <f>IF('Costs &amp; Benefits'!J24,'Costs &amp; Benefits'!J24,"")</f>
        <v>30000</v>
      </c>
      <c r="F5" s="22" t="str">
        <f>IF('Costs &amp; Benefits'!K24,'Costs &amp; Benefits'!K24,"")</f>
        <v/>
      </c>
      <c r="G5" s="22" t="str">
        <f>IF('Costs &amp; Benefits'!L24,'Costs &amp; Benefits'!L24,"")</f>
        <v/>
      </c>
      <c r="H5" s="22" t="str">
        <f>IF('Costs &amp; Benefits'!M24,'Costs &amp; Benefits'!M24,"")</f>
        <v/>
      </c>
      <c r="I5" s="22" t="str">
        <f>IF('Costs &amp; Benefits'!N24,'Costs &amp; Benefits'!N24,"")</f>
        <v/>
      </c>
      <c r="J5" s="22" t="str">
        <f>IF('Costs &amp; Benefits'!O24,'Costs &amp; Benefits'!O24,"")</f>
        <v/>
      </c>
      <c r="K5" s="22" t="str">
        <f>IF('Costs &amp; Benefits'!P24,'Costs &amp; Benefits'!P24,"")</f>
        <v/>
      </c>
      <c r="L5" s="22" t="str">
        <f>IF('Costs &amp; Benefits'!Q24,'Costs &amp; Benefits'!Q24,"")</f>
        <v/>
      </c>
      <c r="M5" s="22" t="str">
        <f>IF('Costs &amp; Benefits'!R24,'Costs &amp; Benefits'!R24,"")</f>
        <v/>
      </c>
      <c r="N5" s="22" t="str">
        <f>IF('Costs &amp; Benefits'!S24,'Costs &amp; Benefits'!S24,"")</f>
        <v/>
      </c>
    </row>
    <row r="6" spans="1:14" s="1" customFormat="1" ht="10.199999999999999" customHeight="1" x14ac:dyDescent="0.25">
      <c r="A6" s="260">
        <v>5</v>
      </c>
      <c r="B6" s="25" t="s">
        <v>47</v>
      </c>
      <c r="C6" s="21" t="str">
        <f>'Costs &amp; Benefits'!H34</f>
        <v>One-Off</v>
      </c>
      <c r="D6" s="21" t="str">
        <f>'Costs &amp; Benefits'!I34</f>
        <v>Internal test onboarding and enablement</v>
      </c>
      <c r="E6" s="22">
        <f>IF('Costs &amp; Benefits'!J34,'Costs &amp; Benefits'!J34,"")</f>
        <v>50000</v>
      </c>
      <c r="F6" s="22" t="str">
        <f>IF('Costs &amp; Benefits'!K34,'Costs &amp; Benefits'!K34,"")</f>
        <v/>
      </c>
      <c r="G6" s="22" t="str">
        <f>IF('Costs &amp; Benefits'!L34,'Costs &amp; Benefits'!L34,"")</f>
        <v/>
      </c>
      <c r="H6" s="22" t="str">
        <f>IF('Costs &amp; Benefits'!M34,'Costs &amp; Benefits'!M34,"")</f>
        <v/>
      </c>
      <c r="I6" s="22" t="str">
        <f>IF('Costs &amp; Benefits'!N34,'Costs &amp; Benefits'!N34,"")</f>
        <v/>
      </c>
      <c r="J6" s="22" t="str">
        <f>IF('Costs &amp; Benefits'!O34,'Costs &amp; Benefits'!O34,"")</f>
        <v/>
      </c>
      <c r="K6" s="22" t="str">
        <f>IF('Costs &amp; Benefits'!P34,'Costs &amp; Benefits'!P34,"")</f>
        <v/>
      </c>
      <c r="L6" s="22" t="str">
        <f>IF('Costs &amp; Benefits'!Q34,'Costs &amp; Benefits'!Q34,"")</f>
        <v/>
      </c>
      <c r="M6" s="22" t="str">
        <f>IF('Costs &amp; Benefits'!R34,'Costs &amp; Benefits'!R34,"")</f>
        <v/>
      </c>
      <c r="N6" s="22" t="str">
        <f>IF('Costs &amp; Benefits'!S34,'Costs &amp; Benefits'!S34,"")</f>
        <v/>
      </c>
    </row>
    <row r="7" spans="1:14" s="1" customFormat="1" ht="10.199999999999999" customHeight="1" x14ac:dyDescent="0.25">
      <c r="A7" s="260">
        <v>6</v>
      </c>
      <c r="B7" s="25" t="s">
        <v>48</v>
      </c>
      <c r="C7" s="21" t="str">
        <f>'Costs &amp; Benefits'!H35</f>
        <v>One-Off</v>
      </c>
      <c r="D7" s="21" t="str">
        <f>'Costs &amp; Benefits'!I35</f>
        <v>External test rollout and documentation support</v>
      </c>
      <c r="E7" s="22">
        <f>IF('Costs &amp; Benefits'!J35,'Costs &amp; Benefits'!J35,"")</f>
        <v>50000</v>
      </c>
      <c r="F7" s="22" t="str">
        <f>IF('Costs &amp; Benefits'!K35,'Costs &amp; Benefits'!K35,"")</f>
        <v/>
      </c>
      <c r="G7" s="22" t="str">
        <f>IF('Costs &amp; Benefits'!L35,'Costs &amp; Benefits'!L35,"")</f>
        <v/>
      </c>
      <c r="H7" s="22" t="str">
        <f>IF('Costs &amp; Benefits'!M35,'Costs &amp; Benefits'!M35,"")</f>
        <v/>
      </c>
      <c r="I7" s="22" t="str">
        <f>IF('Costs &amp; Benefits'!N35,'Costs &amp; Benefits'!N35,"")</f>
        <v/>
      </c>
      <c r="J7" s="22" t="str">
        <f>IF('Costs &amp; Benefits'!O35,'Costs &amp; Benefits'!O35,"")</f>
        <v/>
      </c>
      <c r="K7" s="22" t="str">
        <f>IF('Costs &amp; Benefits'!P35,'Costs &amp; Benefits'!P35,"")</f>
        <v/>
      </c>
      <c r="L7" s="22" t="str">
        <f>IF('Costs &amp; Benefits'!Q35,'Costs &amp; Benefits'!Q35,"")</f>
        <v/>
      </c>
      <c r="M7" s="22" t="str">
        <f>IF('Costs &amp; Benefits'!R35,'Costs &amp; Benefits'!R35,"")</f>
        <v/>
      </c>
      <c r="N7" s="22" t="str">
        <f>IF('Costs &amp; Benefits'!S35,'Costs &amp; Benefits'!S35,"")</f>
        <v/>
      </c>
    </row>
    <row r="8" spans="1:14" s="1" customFormat="1" ht="10.199999999999999" customHeight="1" x14ac:dyDescent="0.25">
      <c r="A8" s="260">
        <v>7</v>
      </c>
      <c r="B8" s="25" t="s">
        <v>49</v>
      </c>
      <c r="C8" s="21" t="str">
        <f>'Costs &amp; Benefits'!H37</f>
        <v>Recurrent</v>
      </c>
      <c r="D8" s="21" t="str">
        <f>'Costs &amp; Benefits'!I37</f>
        <v>Internal test platform support</v>
      </c>
      <c r="E8" s="22" t="str">
        <f>IF('Costs &amp; Benefits'!J37,'Costs &amp; Benefits'!J37,"")</f>
        <v/>
      </c>
      <c r="F8" s="22">
        <f>IF('Costs &amp; Benefits'!K37,'Costs &amp; Benefits'!K37,"")</f>
        <v>20000</v>
      </c>
      <c r="G8" s="22">
        <f>IF('Costs &amp; Benefits'!L37,'Costs &amp; Benefits'!L37,"")</f>
        <v>20000</v>
      </c>
      <c r="H8" s="22">
        <f>IF('Costs &amp; Benefits'!M37,'Costs &amp; Benefits'!M37,"")</f>
        <v>20000</v>
      </c>
      <c r="I8" s="22">
        <f>IF('Costs &amp; Benefits'!N37,'Costs &amp; Benefits'!N37,"")</f>
        <v>20000</v>
      </c>
      <c r="J8" s="22">
        <f>IF('Costs &amp; Benefits'!O37,'Costs &amp; Benefits'!O37,"")</f>
        <v>20000</v>
      </c>
      <c r="K8" s="22">
        <f>IF('Costs &amp; Benefits'!P37,'Costs &amp; Benefits'!P37,"")</f>
        <v>20000</v>
      </c>
      <c r="L8" s="22">
        <f>IF('Costs &amp; Benefits'!Q37,'Costs &amp; Benefits'!Q37,"")</f>
        <v>20000</v>
      </c>
      <c r="M8" s="22">
        <f>IF('Costs &amp; Benefits'!R37,'Costs &amp; Benefits'!R37,"")</f>
        <v>20000</v>
      </c>
      <c r="N8" s="22">
        <f>IF('Costs &amp; Benefits'!S37,'Costs &amp; Benefits'!S37,"")</f>
        <v>20000</v>
      </c>
    </row>
    <row r="9" spans="1:14" s="1" customFormat="1" ht="10.199999999999999" customHeight="1" x14ac:dyDescent="0.25">
      <c r="A9" s="260">
        <v>8</v>
      </c>
      <c r="B9" s="25" t="s">
        <v>50</v>
      </c>
      <c r="C9" s="21" t="str">
        <f>'Costs &amp; Benefits'!H39</f>
        <v>Recurrent</v>
      </c>
      <c r="D9" s="21" t="str">
        <f>'Costs &amp; Benefits'!I39</f>
        <v>Test messaging and automation services</v>
      </c>
      <c r="E9" s="22" t="str">
        <f>IF('Costs &amp; Benefits'!J39,'Costs &amp; Benefits'!J39,"")</f>
        <v/>
      </c>
      <c r="F9" s="22">
        <f>IF('Costs &amp; Benefits'!K39,'Costs &amp; Benefits'!K39,"")</f>
        <v>35000</v>
      </c>
      <c r="G9" s="22">
        <f>IF('Costs &amp; Benefits'!L39,'Costs &amp; Benefits'!L39,"")</f>
        <v>35000</v>
      </c>
      <c r="H9" s="22">
        <f>IF('Costs &amp; Benefits'!M39,'Costs &amp; Benefits'!M39,"")</f>
        <v>35000</v>
      </c>
      <c r="I9" s="22">
        <f>IF('Costs &amp; Benefits'!N39,'Costs &amp; Benefits'!N39,"")</f>
        <v>35000</v>
      </c>
      <c r="J9" s="22">
        <f>IF('Costs &amp; Benefits'!O39,'Costs &amp; Benefits'!O39,"")</f>
        <v>35000</v>
      </c>
      <c r="K9" s="22">
        <f>IF('Costs &amp; Benefits'!P39,'Costs &amp; Benefits'!P39,"")</f>
        <v>35000</v>
      </c>
      <c r="L9" s="22">
        <f>IF('Costs &amp; Benefits'!Q39,'Costs &amp; Benefits'!Q39,"")</f>
        <v>35000</v>
      </c>
      <c r="M9" s="22">
        <f>IF('Costs &amp; Benefits'!R39,'Costs &amp; Benefits'!R39,"")</f>
        <v>35000</v>
      </c>
      <c r="N9" s="22">
        <f>IF('Costs &amp; Benefits'!S39,'Costs &amp; Benefits'!S39,"")</f>
        <v>35000</v>
      </c>
    </row>
    <row r="10" spans="1:14" s="20" customFormat="1" ht="10.199999999999999" customHeight="1" x14ac:dyDescent="0.25">
      <c r="A10" s="279">
        <v>9</v>
      </c>
      <c r="B10" s="25" t="s">
        <v>51</v>
      </c>
      <c r="C10" s="278" t="str">
        <f>'Costs &amp; Benefits'!H41</f>
        <v>Recurrent</v>
      </c>
      <c r="D10" s="21" t="str">
        <f>'Costs &amp; Benefits'!I41</f>
        <v>External maintenance for test integrations</v>
      </c>
      <c r="E10" s="22" t="str">
        <f>IF('Costs &amp; Benefits'!J41,'Costs &amp; Benefits'!J41,"")</f>
        <v/>
      </c>
      <c r="F10" s="22">
        <f>IF('Costs &amp; Benefits'!K41,'Costs &amp; Benefits'!K41,"")</f>
        <v>20000</v>
      </c>
      <c r="G10" s="22">
        <f>IF('Costs &amp; Benefits'!L41,'Costs &amp; Benefits'!L41,"")</f>
        <v>20000</v>
      </c>
      <c r="H10" s="22">
        <f>IF('Costs &amp; Benefits'!M41,'Costs &amp; Benefits'!M41,"")</f>
        <v>20000</v>
      </c>
      <c r="I10" s="22">
        <f>IF('Costs &amp; Benefits'!N41,'Costs &amp; Benefits'!N41,"")</f>
        <v>20000</v>
      </c>
      <c r="J10" s="22">
        <f>IF('Costs &amp; Benefits'!O41,'Costs &amp; Benefits'!O41,"")</f>
        <v>20000</v>
      </c>
      <c r="K10" s="22">
        <f>IF('Costs &amp; Benefits'!P41,'Costs &amp; Benefits'!P41,"")</f>
        <v>20000</v>
      </c>
      <c r="L10" s="22">
        <f>IF('Costs &amp; Benefits'!Q41,'Costs &amp; Benefits'!Q41,"")</f>
        <v>20000</v>
      </c>
      <c r="M10" s="22">
        <f>IF('Costs &amp; Benefits'!R41,'Costs &amp; Benefits'!R41,"")</f>
        <v>20000</v>
      </c>
      <c r="N10" s="22">
        <f>IF('Costs &amp; Benefits'!S41,'Costs &amp; Benefits'!S41,"")</f>
        <v>20000</v>
      </c>
    </row>
    <row r="11" spans="1:14" s="1" customFormat="1" ht="10.199999999999999" customHeight="1" x14ac:dyDescent="0.25">
      <c r="A11" s="260">
        <v>10</v>
      </c>
      <c r="B11" s="25" t="s">
        <v>52</v>
      </c>
      <c r="C11" s="21" t="str">
        <f>'Costs &amp; Benefits'!H43</f>
        <v>Recurrent</v>
      </c>
      <c r="D11" s="21">
        <f>'Costs &amp; Benefits'!I43</f>
        <v>0</v>
      </c>
      <c r="E11" s="22" t="str">
        <f>IF('Costs &amp; Benefits'!J43,'Costs &amp; Benefits'!J43,"")</f>
        <v/>
      </c>
      <c r="F11" s="22" t="str">
        <f>IF('Costs &amp; Benefits'!K43,'Costs &amp; Benefits'!K43,"")</f>
        <v/>
      </c>
      <c r="G11" s="22" t="str">
        <f>IF('Costs &amp; Benefits'!L43,'Costs &amp; Benefits'!L43,"")</f>
        <v/>
      </c>
      <c r="H11" s="22" t="str">
        <f>IF('Costs &amp; Benefits'!M43,'Costs &amp; Benefits'!M43,"")</f>
        <v/>
      </c>
      <c r="I11" s="22" t="str">
        <f>IF('Costs &amp; Benefits'!N43,'Costs &amp; Benefits'!N43,"")</f>
        <v/>
      </c>
      <c r="J11" s="22" t="str">
        <f>IF('Costs &amp; Benefits'!O43,'Costs &amp; Benefits'!O43,"")</f>
        <v/>
      </c>
      <c r="K11" s="22" t="str">
        <f>IF('Costs &amp; Benefits'!P43,'Costs &amp; Benefits'!P43,"")</f>
        <v/>
      </c>
      <c r="L11" s="22" t="str">
        <f>IF('Costs &amp; Benefits'!Q43,'Costs &amp; Benefits'!Q43,"")</f>
        <v/>
      </c>
      <c r="M11" s="22" t="str">
        <f>IF('Costs &amp; Benefits'!R43,'Costs &amp; Benefits'!R43,"")</f>
        <v/>
      </c>
      <c r="N11" s="22" t="str">
        <f>IF('Costs &amp; Benefits'!S43,'Costs &amp; Benefits'!S43,"")</f>
        <v/>
      </c>
    </row>
    <row r="12" spans="1:14" s="1" customFormat="1" ht="10.199999999999999" customHeight="1" x14ac:dyDescent="0.25">
      <c r="A12" s="260">
        <v>11</v>
      </c>
      <c r="B12" s="25" t="s">
        <v>53</v>
      </c>
      <c r="C12" s="21" t="str">
        <f>'Costs &amp; Benefits'!H45</f>
        <v>Recurrent</v>
      </c>
      <c r="D12" s="21">
        <f>'Costs &amp; Benefits'!I45</f>
        <v>0</v>
      </c>
      <c r="E12" s="22" t="str">
        <f>IF('Costs &amp; Benefits'!J45,'Costs &amp; Benefits'!J45,"")</f>
        <v/>
      </c>
      <c r="F12" s="22" t="str">
        <f>IF('Costs &amp; Benefits'!K45,'Costs &amp; Benefits'!K45,"")</f>
        <v/>
      </c>
      <c r="G12" s="22" t="str">
        <f>IF('Costs &amp; Benefits'!L45,'Costs &amp; Benefits'!L45,"")</f>
        <v/>
      </c>
      <c r="H12" s="22" t="str">
        <f>IF('Costs &amp; Benefits'!M45,'Costs &amp; Benefits'!M45,"")</f>
        <v/>
      </c>
      <c r="I12" s="22" t="str">
        <f>IF('Costs &amp; Benefits'!N45,'Costs &amp; Benefits'!N45,"")</f>
        <v/>
      </c>
      <c r="J12" s="22" t="str">
        <f>IF('Costs &amp; Benefits'!O45,'Costs &amp; Benefits'!O45,"")</f>
        <v/>
      </c>
      <c r="K12" s="22" t="str">
        <f>IF('Costs &amp; Benefits'!P45,'Costs &amp; Benefits'!P45,"")</f>
        <v/>
      </c>
      <c r="L12" s="22" t="str">
        <f>IF('Costs &amp; Benefits'!Q45,'Costs &amp; Benefits'!Q45,"")</f>
        <v/>
      </c>
      <c r="M12" s="22" t="str">
        <f>IF('Costs &amp; Benefits'!R45,'Costs &amp; Benefits'!R45,"")</f>
        <v/>
      </c>
      <c r="N12" s="22" t="str">
        <f>IF('Costs &amp; Benefits'!S45,'Costs &amp; Benefits'!S45,"")</f>
        <v/>
      </c>
    </row>
    <row r="13" spans="1:14" s="1" customFormat="1" ht="10.199999999999999" customHeight="1" x14ac:dyDescent="0.25">
      <c r="A13" s="260">
        <v>12</v>
      </c>
      <c r="B13" s="25" t="s">
        <v>54</v>
      </c>
      <c r="C13" s="21" t="str">
        <f>'Costs &amp; Benefits'!H47</f>
        <v>One-Off</v>
      </c>
      <c r="D13" s="21">
        <f>'Costs &amp; Benefits'!I47</f>
        <v>0</v>
      </c>
      <c r="E13" s="22" t="str">
        <f>IF('Costs &amp; Benefits'!J47,'Costs &amp; Benefits'!J47,"")</f>
        <v/>
      </c>
      <c r="F13" s="22" t="str">
        <f>IF('Costs &amp; Benefits'!K47,'Costs &amp; Benefits'!K47,"")</f>
        <v/>
      </c>
      <c r="G13" s="22" t="str">
        <f>IF('Costs &amp; Benefits'!L47,'Costs &amp; Benefits'!L47,"")</f>
        <v/>
      </c>
      <c r="H13" s="22" t="str">
        <f>IF('Costs &amp; Benefits'!M47,'Costs &amp; Benefits'!M47,"")</f>
        <v/>
      </c>
      <c r="I13" s="22" t="str">
        <f>IF('Costs &amp; Benefits'!N47,'Costs &amp; Benefits'!N47,"")</f>
        <v/>
      </c>
      <c r="J13" s="22" t="str">
        <f>IF('Costs &amp; Benefits'!O47,'Costs &amp; Benefits'!O47,"")</f>
        <v/>
      </c>
      <c r="K13" s="22" t="str">
        <f>IF('Costs &amp; Benefits'!P47,'Costs &amp; Benefits'!P47,"")</f>
        <v/>
      </c>
      <c r="L13" s="22" t="str">
        <f>IF('Costs &amp; Benefits'!Q47,'Costs &amp; Benefits'!Q47,"")</f>
        <v/>
      </c>
      <c r="M13" s="22" t="str">
        <f>IF('Costs &amp; Benefits'!R47,'Costs &amp; Benefits'!R47,"")</f>
        <v/>
      </c>
      <c r="N13" s="22" t="str">
        <f>IF('Costs &amp; Benefits'!S47,'Costs &amp; Benefits'!S47,"")</f>
        <v/>
      </c>
    </row>
    <row r="14" spans="1:14" s="1" customFormat="1" ht="10.199999999999999" customHeight="1" x14ac:dyDescent="0.25">
      <c r="A14" s="260">
        <v>13</v>
      </c>
      <c r="B14" s="25" t="s">
        <v>55</v>
      </c>
      <c r="C14" s="21" t="str">
        <f>'Costs &amp; Benefits'!H48</f>
        <v>Recurrent</v>
      </c>
      <c r="D14" s="21">
        <f>'Costs &amp; Benefits'!I48</f>
        <v>0</v>
      </c>
      <c r="E14" s="22" t="str">
        <f>IF('Costs &amp; Benefits'!J48,'Costs &amp; Benefits'!J48,"")</f>
        <v/>
      </c>
      <c r="F14" s="22" t="str">
        <f>IF('Costs &amp; Benefits'!K48,'Costs &amp; Benefits'!K48,"")</f>
        <v/>
      </c>
      <c r="G14" s="22" t="str">
        <f>IF('Costs &amp; Benefits'!L48,'Costs &amp; Benefits'!L48,"")</f>
        <v/>
      </c>
      <c r="H14" s="22" t="str">
        <f>IF('Costs &amp; Benefits'!M48,'Costs &amp; Benefits'!M48,"")</f>
        <v/>
      </c>
      <c r="I14" s="22" t="str">
        <f>IF('Costs &amp; Benefits'!N48,'Costs &amp; Benefits'!N48,"")</f>
        <v/>
      </c>
      <c r="J14" s="22" t="str">
        <f>IF('Costs &amp; Benefits'!O48,'Costs &amp; Benefits'!O48,"")</f>
        <v/>
      </c>
      <c r="K14" s="22" t="str">
        <f>IF('Costs &amp; Benefits'!P48,'Costs &amp; Benefits'!P48,"")</f>
        <v/>
      </c>
      <c r="L14" s="22" t="str">
        <f>IF('Costs &amp; Benefits'!Q48,'Costs &amp; Benefits'!Q48,"")</f>
        <v/>
      </c>
      <c r="M14" s="22" t="str">
        <f>IF('Costs &amp; Benefits'!R48,'Costs &amp; Benefits'!R48,"")</f>
        <v/>
      </c>
      <c r="N14" s="22" t="str">
        <f>IF('Costs &amp; Benefits'!S48,'Costs &amp; Benefits'!S48,"")</f>
        <v/>
      </c>
    </row>
    <row r="15" spans="1:14" s="1" customFormat="1" ht="10.199999999999999" customHeight="1" x14ac:dyDescent="0.25">
      <c r="A15" s="260">
        <v>14</v>
      </c>
      <c r="B15" s="25" t="s">
        <v>56</v>
      </c>
      <c r="C15" s="23"/>
      <c r="D15" s="281" t="str">
        <f>'Costs &amp; Benefits'!I94</f>
        <v>Synthetic incremental value from automated test journeys</v>
      </c>
      <c r="E15" s="22" t="str">
        <f>IF('Costs &amp; Benefits'!J94,'Costs &amp; Benefits'!J94,"")</f>
        <v/>
      </c>
      <c r="F15" s="22">
        <f>IF('Costs &amp; Benefits'!K94,'Costs &amp; Benefits'!K94,"")</f>
        <v>200000</v>
      </c>
      <c r="G15" s="22">
        <f>IF('Costs &amp; Benefits'!L94,'Costs &amp; Benefits'!L94,"")</f>
        <v>400000</v>
      </c>
      <c r="H15" s="22">
        <f>IF('Costs &amp; Benefits'!M94,'Costs &amp; Benefits'!M94,"")</f>
        <v>600000</v>
      </c>
      <c r="I15" s="22">
        <f>IF('Costs &amp; Benefits'!N94,'Costs &amp; Benefits'!N94,"")</f>
        <v>700000</v>
      </c>
      <c r="J15" s="22">
        <f>IF('Costs &amp; Benefits'!O94,'Costs &amp; Benefits'!O94,"")</f>
        <v>700000</v>
      </c>
      <c r="K15" s="22">
        <f>IF('Costs &amp; Benefits'!P94,'Costs &amp; Benefits'!P94,"")</f>
        <v>700000</v>
      </c>
      <c r="L15" s="22">
        <f>IF('Costs &amp; Benefits'!Q94,'Costs &amp; Benefits'!Q94,"")</f>
        <v>700000</v>
      </c>
      <c r="M15" s="22">
        <f>IF('Costs &amp; Benefits'!R94,'Costs &amp; Benefits'!R94,"")</f>
        <v>700000</v>
      </c>
      <c r="N15" s="22">
        <f>IF('Costs &amp; Benefits'!S94,'Costs &amp; Benefits'!S94,"")</f>
        <v>700000</v>
      </c>
    </row>
    <row r="16" spans="1:14" s="1" customFormat="1" ht="10.199999999999999" customHeight="1" x14ac:dyDescent="0.25">
      <c r="A16" s="260">
        <v>15</v>
      </c>
      <c r="B16" s="25" t="s">
        <v>56</v>
      </c>
      <c r="C16" s="23"/>
      <c r="D16" s="281">
        <f>'Costs &amp; Benefits'!I95</f>
        <v>0</v>
      </c>
      <c r="E16" s="22" t="str">
        <f>IF('Costs &amp; Benefits'!J95,'Costs &amp; Benefits'!J95,"")</f>
        <v/>
      </c>
      <c r="F16" s="22" t="str">
        <f>IF('Costs &amp; Benefits'!K95,'Costs &amp; Benefits'!K95,"")</f>
        <v/>
      </c>
      <c r="G16" s="22" t="str">
        <f>IF('Costs &amp; Benefits'!L95,'Costs &amp; Benefits'!L95,"")</f>
        <v/>
      </c>
      <c r="H16" s="22" t="str">
        <f>IF('Costs &amp; Benefits'!M95,'Costs &amp; Benefits'!M95,"")</f>
        <v/>
      </c>
      <c r="I16" s="22" t="str">
        <f>IF('Costs &amp; Benefits'!N95,'Costs &amp; Benefits'!N95,"")</f>
        <v/>
      </c>
      <c r="J16" s="22" t="str">
        <f>IF('Costs &amp; Benefits'!O95,'Costs &amp; Benefits'!O95,"")</f>
        <v/>
      </c>
      <c r="K16" s="22" t="str">
        <f>IF('Costs &amp; Benefits'!P95,'Costs &amp; Benefits'!P95,"")</f>
        <v/>
      </c>
      <c r="L16" s="22" t="str">
        <f>IF('Costs &amp; Benefits'!Q95,'Costs &amp; Benefits'!Q95,"")</f>
        <v/>
      </c>
      <c r="M16" s="22" t="str">
        <f>IF('Costs &amp; Benefits'!R95,'Costs &amp; Benefits'!R95,"")</f>
        <v/>
      </c>
      <c r="N16" s="22" t="str">
        <f>IF('Costs &amp; Benefits'!S95,'Costs &amp; Benefits'!S95,"")</f>
        <v/>
      </c>
    </row>
    <row r="17" spans="1:14" s="1" customFormat="1" ht="10.199999999999999" customHeight="1" x14ac:dyDescent="0.25">
      <c r="A17" s="260">
        <v>16</v>
      </c>
      <c r="B17" s="25" t="s">
        <v>56</v>
      </c>
      <c r="C17" s="23"/>
      <c r="D17" s="281">
        <f>'Costs &amp; Benefits'!I96</f>
        <v>0</v>
      </c>
      <c r="E17" s="22" t="str">
        <f>IF('Costs &amp; Benefits'!J96,'Costs &amp; Benefits'!J96,"")</f>
        <v/>
      </c>
      <c r="F17" s="22" t="str">
        <f>IF('Costs &amp; Benefits'!K96,'Costs &amp; Benefits'!K96,"")</f>
        <v/>
      </c>
      <c r="G17" s="22" t="str">
        <f>IF('Costs &amp; Benefits'!L96,'Costs &amp; Benefits'!L96,"")</f>
        <v/>
      </c>
      <c r="H17" s="22" t="str">
        <f>IF('Costs &amp; Benefits'!M96,'Costs &amp; Benefits'!M96,"")</f>
        <v/>
      </c>
      <c r="I17" s="22" t="str">
        <f>IF('Costs &amp; Benefits'!N96,'Costs &amp; Benefits'!N96,"")</f>
        <v/>
      </c>
      <c r="J17" s="22" t="str">
        <f>IF('Costs &amp; Benefits'!O96,'Costs &amp; Benefits'!O96,"")</f>
        <v/>
      </c>
      <c r="K17" s="22" t="str">
        <f>IF('Costs &amp; Benefits'!P96,'Costs &amp; Benefits'!P96,"")</f>
        <v/>
      </c>
      <c r="L17" s="22" t="str">
        <f>IF('Costs &amp; Benefits'!Q96,'Costs &amp; Benefits'!Q96,"")</f>
        <v/>
      </c>
      <c r="M17" s="22" t="str">
        <f>IF('Costs &amp; Benefits'!R96,'Costs &amp; Benefits'!R96,"")</f>
        <v/>
      </c>
      <c r="N17" s="22" t="str">
        <f>IF('Costs &amp; Benefits'!S96,'Costs &amp; Benefits'!S96,"")</f>
        <v/>
      </c>
    </row>
    <row r="18" spans="1:14" s="1" customFormat="1" ht="10.199999999999999" customHeight="1" x14ac:dyDescent="0.25">
      <c r="A18" s="260">
        <v>17</v>
      </c>
      <c r="B18" s="25" t="s">
        <v>56</v>
      </c>
      <c r="C18" s="23"/>
      <c r="D18" s="281">
        <f>'Costs &amp; Benefits'!I97</f>
        <v>0</v>
      </c>
      <c r="E18" s="22" t="str">
        <f>IF('Costs &amp; Benefits'!J97,'Costs &amp; Benefits'!J97,"")</f>
        <v/>
      </c>
      <c r="F18" s="22" t="str">
        <f>IF('Costs &amp; Benefits'!K97,'Costs &amp; Benefits'!K97,"")</f>
        <v/>
      </c>
      <c r="G18" s="22" t="str">
        <f>IF('Costs &amp; Benefits'!L97,'Costs &amp; Benefits'!L97,"")</f>
        <v/>
      </c>
      <c r="H18" s="22" t="str">
        <f>IF('Costs &amp; Benefits'!M97,'Costs &amp; Benefits'!M97,"")</f>
        <v/>
      </c>
      <c r="I18" s="22" t="str">
        <f>IF('Costs &amp; Benefits'!N97,'Costs &amp; Benefits'!N97,"")</f>
        <v/>
      </c>
      <c r="J18" s="22" t="str">
        <f>IF('Costs &amp; Benefits'!O97,'Costs &amp; Benefits'!O97,"")</f>
        <v/>
      </c>
      <c r="K18" s="22" t="str">
        <f>IF('Costs &amp; Benefits'!P97,'Costs &amp; Benefits'!P97,"")</f>
        <v/>
      </c>
      <c r="L18" s="22" t="str">
        <f>IF('Costs &amp; Benefits'!Q97,'Costs &amp; Benefits'!Q97,"")</f>
        <v/>
      </c>
      <c r="M18" s="22" t="str">
        <f>IF('Costs &amp; Benefits'!R97,'Costs &amp; Benefits'!R97,"")</f>
        <v/>
      </c>
      <c r="N18" s="22" t="str">
        <f>IF('Costs &amp; Benefits'!S97,'Costs &amp; Benefits'!S97,"")</f>
        <v/>
      </c>
    </row>
    <row r="19" spans="1:14" s="1" customFormat="1" ht="10.199999999999999" customHeight="1" x14ac:dyDescent="0.25">
      <c r="A19" s="260">
        <v>18</v>
      </c>
      <c r="B19" s="25" t="s">
        <v>56</v>
      </c>
      <c r="C19" s="24"/>
      <c r="D19" s="281">
        <f>'Costs &amp; Benefits'!I98</f>
        <v>0</v>
      </c>
      <c r="E19" s="22" t="str">
        <f>IF('Costs &amp; Benefits'!J98,'Costs &amp; Benefits'!J98,"")</f>
        <v/>
      </c>
      <c r="F19" s="22" t="str">
        <f>IF('Costs &amp; Benefits'!K98,'Costs &amp; Benefits'!K98,"")</f>
        <v/>
      </c>
      <c r="G19" s="22" t="str">
        <f>IF('Costs &amp; Benefits'!L98,'Costs &amp; Benefits'!L98,"")</f>
        <v/>
      </c>
      <c r="H19" s="22" t="str">
        <f>IF('Costs &amp; Benefits'!M98,'Costs &amp; Benefits'!M98,"")</f>
        <v/>
      </c>
      <c r="I19" s="22" t="str">
        <f>IF('Costs &amp; Benefits'!N98,'Costs &amp; Benefits'!N98,"")</f>
        <v/>
      </c>
      <c r="J19" s="22" t="str">
        <f>IF('Costs &amp; Benefits'!O98,'Costs &amp; Benefits'!O98,"")</f>
        <v/>
      </c>
      <c r="K19" s="22" t="str">
        <f>IF('Costs &amp; Benefits'!P98,'Costs &amp; Benefits'!P98,"")</f>
        <v/>
      </c>
      <c r="L19" s="22" t="str">
        <f>IF('Costs &amp; Benefits'!Q98,'Costs &amp; Benefits'!Q98,"")</f>
        <v/>
      </c>
      <c r="M19" s="22" t="str">
        <f>IF('Costs &amp; Benefits'!R98,'Costs &amp; Benefits'!R98,"")</f>
        <v/>
      </c>
      <c r="N19" s="22" t="str">
        <f>IF('Costs &amp; Benefits'!S98,'Costs &amp; Benefits'!S98,"")</f>
        <v/>
      </c>
    </row>
    <row r="20" spans="1:14" s="1" customFormat="1" ht="10.199999999999999" customHeight="1" x14ac:dyDescent="0.25">
      <c r="A20" s="260">
        <v>19</v>
      </c>
      <c r="B20" s="25" t="s">
        <v>56</v>
      </c>
      <c r="C20" s="24"/>
      <c r="D20" s="281">
        <f>'Costs &amp; Benefits'!I99</f>
        <v>0</v>
      </c>
      <c r="E20" s="22" t="str">
        <f>IF('Costs &amp; Benefits'!J99,'Costs &amp; Benefits'!J99,"")</f>
        <v/>
      </c>
      <c r="F20" s="22" t="str">
        <f>IF('Costs &amp; Benefits'!K99,'Costs &amp; Benefits'!K99,"")</f>
        <v/>
      </c>
      <c r="G20" s="22" t="str">
        <f>IF('Costs &amp; Benefits'!L99,'Costs &amp; Benefits'!L99,"")</f>
        <v/>
      </c>
      <c r="H20" s="22" t="str">
        <f>IF('Costs &amp; Benefits'!M99,'Costs &amp; Benefits'!M99,"")</f>
        <v/>
      </c>
      <c r="I20" s="22" t="str">
        <f>IF('Costs &amp; Benefits'!N99,'Costs &amp; Benefits'!N99,"")</f>
        <v/>
      </c>
      <c r="J20" s="22" t="str">
        <f>IF('Costs &amp; Benefits'!O99,'Costs &amp; Benefits'!O99,"")</f>
        <v/>
      </c>
      <c r="K20" s="22" t="str">
        <f>IF('Costs &amp; Benefits'!P99,'Costs &amp; Benefits'!P99,"")</f>
        <v/>
      </c>
      <c r="L20" s="22" t="str">
        <f>IF('Costs &amp; Benefits'!Q99,'Costs &amp; Benefits'!Q99,"")</f>
        <v/>
      </c>
      <c r="M20" s="22" t="str">
        <f>IF('Costs &amp; Benefits'!R99,'Costs &amp; Benefits'!R99,"")</f>
        <v/>
      </c>
      <c r="N20" s="22" t="str">
        <f>IF('Costs &amp; Benefits'!S99,'Costs &amp; Benefits'!S99,"")</f>
        <v/>
      </c>
    </row>
    <row r="21" spans="1:14" s="1" customFormat="1" ht="10.199999999999999" customHeight="1" x14ac:dyDescent="0.25">
      <c r="A21" s="260">
        <v>20</v>
      </c>
      <c r="B21" s="25" t="s">
        <v>57</v>
      </c>
      <c r="C21" s="24"/>
      <c r="D21" s="281" t="str">
        <f>'Costs &amp; Benefits'!I106</f>
        <v>Reduced manual setup effort in the test process</v>
      </c>
      <c r="E21" s="22" t="str">
        <f>IF('Costs &amp; Benefits'!J106,'Costs &amp; Benefits'!J106,"")</f>
        <v/>
      </c>
      <c r="F21" s="22">
        <f>IF('Costs &amp; Benefits'!K106,'Costs &amp; Benefits'!K106,"")</f>
        <v>30000</v>
      </c>
      <c r="G21" s="22">
        <f>IF('Costs &amp; Benefits'!L106,'Costs &amp; Benefits'!L106,"")</f>
        <v>60000</v>
      </c>
      <c r="H21" s="22">
        <f>IF('Costs &amp; Benefits'!M106,'Costs &amp; Benefits'!M106,"")</f>
        <v>80000</v>
      </c>
      <c r="I21" s="22">
        <f>IF('Costs &amp; Benefits'!N106,'Costs &amp; Benefits'!N106,"")</f>
        <v>80000</v>
      </c>
      <c r="J21" s="22">
        <f>IF('Costs &amp; Benefits'!O106,'Costs &amp; Benefits'!O106,"")</f>
        <v>80000</v>
      </c>
      <c r="K21" s="22">
        <f>IF('Costs &amp; Benefits'!P106,'Costs &amp; Benefits'!P106,"")</f>
        <v>80000</v>
      </c>
      <c r="L21" s="22">
        <f>IF('Costs &amp; Benefits'!Q106,'Costs &amp; Benefits'!Q106,"")</f>
        <v>80000</v>
      </c>
      <c r="M21" s="22">
        <f>IF('Costs &amp; Benefits'!R106,'Costs &amp; Benefits'!R106,"")</f>
        <v>80000</v>
      </c>
      <c r="N21" s="22">
        <f>IF('Costs &amp; Benefits'!S106,'Costs &amp; Benefits'!S106,"")</f>
        <v>80000</v>
      </c>
    </row>
    <row r="22" spans="1:14" s="1" customFormat="1" ht="10.199999999999999" customHeight="1" x14ac:dyDescent="0.25">
      <c r="A22" s="260">
        <v>21</v>
      </c>
      <c r="B22" s="25" t="s">
        <v>57</v>
      </c>
      <c r="C22" s="24"/>
      <c r="D22" s="281" t="str">
        <f>'Costs &amp; Benefits'!I107</f>
        <v>Reduced duplicated test-template and integration effort</v>
      </c>
      <c r="E22" s="22" t="str">
        <f>IF('Costs &amp; Benefits'!J107,'Costs &amp; Benefits'!J107,"")</f>
        <v/>
      </c>
      <c r="F22" s="22">
        <f>IF('Costs &amp; Benefits'!K107,'Costs &amp; Benefits'!K107,"")</f>
        <v>20000</v>
      </c>
      <c r="G22" s="22">
        <f>IF('Costs &amp; Benefits'!L107,'Costs &amp; Benefits'!L107,"")</f>
        <v>40000</v>
      </c>
      <c r="H22" s="22">
        <f>IF('Costs &amp; Benefits'!M107,'Costs &amp; Benefits'!M107,"")</f>
        <v>50000</v>
      </c>
      <c r="I22" s="22">
        <f>IF('Costs &amp; Benefits'!N107,'Costs &amp; Benefits'!N107,"")</f>
        <v>50000</v>
      </c>
      <c r="J22" s="22">
        <f>IF('Costs &amp; Benefits'!O107,'Costs &amp; Benefits'!O107,"")</f>
        <v>50000</v>
      </c>
      <c r="K22" s="22">
        <f>IF('Costs &amp; Benefits'!P107,'Costs &amp; Benefits'!P107,"")</f>
        <v>50000</v>
      </c>
      <c r="L22" s="22">
        <f>IF('Costs &amp; Benefits'!Q107,'Costs &amp; Benefits'!Q107,"")</f>
        <v>50000</v>
      </c>
      <c r="M22" s="22">
        <f>IF('Costs &amp; Benefits'!R107,'Costs &amp; Benefits'!R107,"")</f>
        <v>50000</v>
      </c>
      <c r="N22" s="22">
        <f>IF('Costs &amp; Benefits'!S107,'Costs &amp; Benefits'!S107,"")</f>
        <v>50000</v>
      </c>
    </row>
    <row r="23" spans="1:14" s="1" customFormat="1" ht="10.199999999999999" customHeight="1" x14ac:dyDescent="0.25">
      <c r="A23" s="260">
        <v>22</v>
      </c>
      <c r="B23" s="25" t="s">
        <v>57</v>
      </c>
      <c r="C23" s="24"/>
      <c r="D23" s="281">
        <f>'Costs &amp; Benefits'!I108</f>
        <v>0</v>
      </c>
      <c r="E23" s="22" t="str">
        <f>IF('Costs &amp; Benefits'!J108,'Costs &amp; Benefits'!J108,"")</f>
        <v/>
      </c>
      <c r="F23" s="22" t="str">
        <f>IF('Costs &amp; Benefits'!K108,'Costs &amp; Benefits'!K108,"")</f>
        <v/>
      </c>
      <c r="G23" s="22" t="str">
        <f>IF('Costs &amp; Benefits'!L108,'Costs &amp; Benefits'!L108,"")</f>
        <v/>
      </c>
      <c r="H23" s="22" t="str">
        <f>IF('Costs &amp; Benefits'!M108,'Costs &amp; Benefits'!M108,"")</f>
        <v/>
      </c>
      <c r="I23" s="22" t="str">
        <f>IF('Costs &amp; Benefits'!N108,'Costs &amp; Benefits'!N108,"")</f>
        <v/>
      </c>
      <c r="J23" s="22" t="str">
        <f>IF('Costs &amp; Benefits'!O108,'Costs &amp; Benefits'!O108,"")</f>
        <v/>
      </c>
      <c r="K23" s="22" t="str">
        <f>IF('Costs &amp; Benefits'!P108,'Costs &amp; Benefits'!P108,"")</f>
        <v/>
      </c>
      <c r="L23" s="22" t="str">
        <f>IF('Costs &amp; Benefits'!Q108,'Costs &amp; Benefits'!Q108,"")</f>
        <v/>
      </c>
      <c r="M23" s="22" t="str">
        <f>IF('Costs &amp; Benefits'!R108,'Costs &amp; Benefits'!R108,"")</f>
        <v/>
      </c>
      <c r="N23" s="22" t="str">
        <f>IF('Costs &amp; Benefits'!S108,'Costs &amp; Benefits'!S108,"")</f>
        <v/>
      </c>
    </row>
    <row r="24" spans="1:14" s="1" customFormat="1" ht="10.199999999999999" customHeight="1" x14ac:dyDescent="0.25">
      <c r="A24" s="260">
        <v>23</v>
      </c>
      <c r="B24" s="25" t="s">
        <v>57</v>
      </c>
      <c r="C24" s="24"/>
      <c r="D24" s="281">
        <f>'Costs &amp; Benefits'!I109</f>
        <v>0</v>
      </c>
      <c r="E24" s="22" t="str">
        <f>IF('Costs &amp; Benefits'!J109,'Costs &amp; Benefits'!J109,"")</f>
        <v/>
      </c>
      <c r="F24" s="22" t="str">
        <f>IF('Costs &amp; Benefits'!K109,'Costs &amp; Benefits'!K109,"")</f>
        <v/>
      </c>
      <c r="G24" s="22" t="str">
        <f>IF('Costs &amp; Benefits'!L109,'Costs &amp; Benefits'!L109,"")</f>
        <v/>
      </c>
      <c r="H24" s="22" t="str">
        <f>IF('Costs &amp; Benefits'!M109,'Costs &amp; Benefits'!M109,"")</f>
        <v/>
      </c>
      <c r="I24" s="22" t="str">
        <f>IF('Costs &amp; Benefits'!N109,'Costs &amp; Benefits'!N109,"")</f>
        <v/>
      </c>
      <c r="J24" s="22" t="str">
        <f>IF('Costs &amp; Benefits'!O109,'Costs &amp; Benefits'!O109,"")</f>
        <v/>
      </c>
      <c r="K24" s="22" t="str">
        <f>IF('Costs &amp; Benefits'!P109,'Costs &amp; Benefits'!P109,"")</f>
        <v/>
      </c>
      <c r="L24" s="22" t="str">
        <f>IF('Costs &amp; Benefits'!Q109,'Costs &amp; Benefits'!Q109,"")</f>
        <v/>
      </c>
      <c r="M24" s="22" t="str">
        <f>IF('Costs &amp; Benefits'!R109,'Costs &amp; Benefits'!R109,"")</f>
        <v/>
      </c>
      <c r="N24" s="22" t="str">
        <f>IF('Costs &amp; Benefits'!S109,'Costs &amp; Benefits'!S109,"")</f>
        <v/>
      </c>
    </row>
    <row r="25" spans="1:14" s="1" customFormat="1" ht="10.199999999999999" customHeight="1" x14ac:dyDescent="0.25">
      <c r="A25" s="260">
        <v>24</v>
      </c>
      <c r="B25" s="25" t="s">
        <v>57</v>
      </c>
      <c r="C25" s="24"/>
      <c r="D25" s="281">
        <f>'Costs &amp; Benefits'!I110</f>
        <v>0</v>
      </c>
      <c r="E25" s="22" t="str">
        <f>IF('Costs &amp; Benefits'!J110,'Costs &amp; Benefits'!J110,"")</f>
        <v/>
      </c>
      <c r="F25" s="22" t="str">
        <f>IF('Costs &amp; Benefits'!K110,'Costs &amp; Benefits'!K110,"")</f>
        <v/>
      </c>
      <c r="G25" s="22" t="str">
        <f>IF('Costs &amp; Benefits'!L110,'Costs &amp; Benefits'!L110,"")</f>
        <v/>
      </c>
      <c r="H25" s="22" t="str">
        <f>IF('Costs &amp; Benefits'!M110,'Costs &amp; Benefits'!M110,"")</f>
        <v/>
      </c>
      <c r="I25" s="22" t="str">
        <f>IF('Costs &amp; Benefits'!N110,'Costs &amp; Benefits'!N110,"")</f>
        <v/>
      </c>
      <c r="J25" s="22" t="str">
        <f>IF('Costs &amp; Benefits'!O110,'Costs &amp; Benefits'!O110,"")</f>
        <v/>
      </c>
      <c r="K25" s="22" t="str">
        <f>IF('Costs &amp; Benefits'!P110,'Costs &amp; Benefits'!P110,"")</f>
        <v/>
      </c>
      <c r="L25" s="22" t="str">
        <f>IF('Costs &amp; Benefits'!Q110,'Costs &amp; Benefits'!Q110,"")</f>
        <v/>
      </c>
      <c r="M25" s="22" t="str">
        <f>IF('Costs &amp; Benefits'!R110,'Costs &amp; Benefits'!R110,"")</f>
        <v/>
      </c>
      <c r="N25" s="22" t="str">
        <f>IF('Costs &amp; Benefits'!S110,'Costs &amp; Benefits'!S110,"")</f>
        <v/>
      </c>
    </row>
    <row r="26" spans="1:14" s="1" customFormat="1" ht="10.199999999999999" customHeight="1" x14ac:dyDescent="0.25">
      <c r="A26" s="260">
        <v>25</v>
      </c>
      <c r="B26" s="25" t="s">
        <v>57</v>
      </c>
      <c r="C26" s="24"/>
      <c r="D26" s="281">
        <f>'Costs &amp; Benefits'!I111</f>
        <v>0</v>
      </c>
      <c r="E26" s="22" t="str">
        <f>IF('Costs &amp; Benefits'!J111,'Costs &amp; Benefits'!J111,"")</f>
        <v/>
      </c>
      <c r="F26" s="22" t="str">
        <f>IF('Costs &amp; Benefits'!K111,'Costs &amp; Benefits'!K111,"")</f>
        <v/>
      </c>
      <c r="G26" s="22" t="str">
        <f>IF('Costs &amp; Benefits'!L111,'Costs &amp; Benefits'!L111,"")</f>
        <v/>
      </c>
      <c r="H26" s="22" t="str">
        <f>IF('Costs &amp; Benefits'!M111,'Costs &amp; Benefits'!M111,"")</f>
        <v/>
      </c>
      <c r="I26" s="22" t="str">
        <f>IF('Costs &amp; Benefits'!N111,'Costs &amp; Benefits'!N111,"")</f>
        <v/>
      </c>
      <c r="J26" s="22" t="str">
        <f>IF('Costs &amp; Benefits'!O111,'Costs &amp; Benefits'!O111,"")</f>
        <v/>
      </c>
      <c r="K26" s="22" t="str">
        <f>IF('Costs &amp; Benefits'!P111,'Costs &amp; Benefits'!P111,"")</f>
        <v/>
      </c>
      <c r="L26" s="22" t="str">
        <f>IF('Costs &amp; Benefits'!Q111,'Costs &amp; Benefits'!Q111,"")</f>
        <v/>
      </c>
      <c r="M26" s="22" t="str">
        <f>IF('Costs &amp; Benefits'!R111,'Costs &amp; Benefits'!R111,"")</f>
        <v/>
      </c>
      <c r="N26" s="22" t="str">
        <f>IF('Costs &amp; Benefits'!S111,'Costs &amp; Benefits'!S111,"")</f>
        <v/>
      </c>
    </row>
    <row r="27" spans="1:14" s="1" customFormat="1" ht="10.199999999999999" customHeight="1" x14ac:dyDescent="0.25">
      <c r="A27" s="260">
        <v>26</v>
      </c>
      <c r="B27" s="25" t="s">
        <v>58</v>
      </c>
      <c r="C27" s="32"/>
      <c r="D27" s="21" t="str">
        <f>'Costs &amp; Benefits'!G117</f>
        <v>Synthetic qualitative benefits: repeatable campaign tests; faster setup; consistent measurement; no use of production customer data.</v>
      </c>
      <c r="E27" s="31"/>
      <c r="F27" s="31"/>
      <c r="G27" s="31"/>
      <c r="H27" s="31"/>
      <c r="I27" s="31"/>
      <c r="J27" s="31"/>
      <c r="K27" s="31"/>
      <c r="L27" s="31"/>
      <c r="M27" s="31"/>
      <c r="N27" s="243"/>
    </row>
    <row r="28" spans="1:14" x14ac:dyDescent="0.25">
      <c r="A28" s="260">
        <v>27</v>
      </c>
      <c r="B28" s="30" t="s">
        <v>59</v>
      </c>
      <c r="C28" s="32"/>
      <c r="D28" s="32"/>
      <c r="E28" s="22">
        <f>IF(Summary!I32,Summary!I32,"")</f>
        <v>-108000</v>
      </c>
      <c r="F28" s="22">
        <f>IF(Summary!J32,Summary!J32,"")</f>
        <v>119000</v>
      </c>
      <c r="G28" s="22">
        <f>IF(Summary!K32,Summary!K32,"")</f>
        <v>329000</v>
      </c>
      <c r="H28" s="22">
        <f>IF(Summary!L32,Summary!L32,"")</f>
        <v>559000</v>
      </c>
      <c r="I28" s="22">
        <f>IF(Summary!M32,Summary!M32,"")</f>
        <v>659000</v>
      </c>
      <c r="J28" s="22">
        <f>IF(Summary!N32,Summary!N32,"")</f>
        <v>667000</v>
      </c>
      <c r="K28" s="22">
        <f>IF(Summary!O32,Summary!O32,"")</f>
        <v>715000</v>
      </c>
      <c r="L28" s="22">
        <f>IF(Summary!P32,Summary!P32,"")</f>
        <v>755000</v>
      </c>
      <c r="M28" s="22">
        <f>IF(Summary!Q32,Summary!Q32,"")</f>
        <v>755000</v>
      </c>
      <c r="N28" s="22">
        <f>IF(Summary!R32,Summary!R32,"")</f>
        <v>755000</v>
      </c>
    </row>
    <row r="29" spans="1:14" x14ac:dyDescent="0.25">
      <c r="A29" s="260">
        <v>28</v>
      </c>
      <c r="B29" s="30" t="s">
        <v>60</v>
      </c>
      <c r="C29" s="32"/>
      <c r="D29" s="32"/>
      <c r="E29" s="22">
        <f>IF(Summary!I41,Summary!I41,"")</f>
        <v>-83089.736709224977</v>
      </c>
      <c r="F29" s="22">
        <f>IF(Summary!J41,Summary!J41,"")</f>
        <v>-23765.231187397039</v>
      </c>
      <c r="G29" s="22">
        <f>IF(Summary!K41,Summary!K41,"")</f>
        <v>179694.67595633931</v>
      </c>
      <c r="H29" s="22">
        <f>IF(Summary!L41,Summary!L41,"")</f>
        <v>577352.74253850675</v>
      </c>
      <c r="I29" s="22">
        <f>IF(Summary!M41,Summary!M41,"")</f>
        <v>914058.331747249</v>
      </c>
      <c r="J29" s="22">
        <f>IF(Summary!N41,Summary!N41,"")</f>
        <v>1241123.8292223862</v>
      </c>
      <c r="K29" s="22">
        <f>IF(Summary!O41,Summary!O41,"")</f>
        <v>1558403.5173448671</v>
      </c>
      <c r="L29" s="22">
        <f>IF(Summary!P41,Summary!P41,"")</f>
        <v>1895441.0995597078</v>
      </c>
      <c r="M29" s="22">
        <f>IF(Summary!Q41,Summary!Q41,"")</f>
        <v>2246521.1727517266</v>
      </c>
      <c r="N29" s="22">
        <f>IF(Summary!R41,Summary!R41,"")</f>
        <v>2578322.1414758675</v>
      </c>
    </row>
    <row r="30" spans="1:14" x14ac:dyDescent="0.25">
      <c r="A30" s="260">
        <v>29</v>
      </c>
      <c r="B30" s="30" t="s">
        <v>61</v>
      </c>
      <c r="C30" s="32"/>
      <c r="D30" s="247">
        <f>Summary!I53</f>
        <v>5.5803096636433098</v>
      </c>
      <c r="E30" s="244"/>
      <c r="F30" s="244"/>
      <c r="G30" s="244"/>
      <c r="H30" s="244"/>
      <c r="I30" s="244"/>
      <c r="J30" s="244"/>
      <c r="K30" s="244"/>
      <c r="L30" s="244"/>
      <c r="M30" s="244"/>
      <c r="N30" s="244"/>
    </row>
    <row r="31" spans="1:14" x14ac:dyDescent="0.25">
      <c r="A31" s="260">
        <v>30</v>
      </c>
      <c r="B31" s="245" t="s">
        <v>62</v>
      </c>
      <c r="C31" s="32"/>
      <c r="D31" s="262">
        <f>'Costs &amp; Benefits'!I141</f>
        <v>21.251412090859745</v>
      </c>
      <c r="E31" s="244"/>
      <c r="F31" s="244"/>
      <c r="G31" s="244"/>
      <c r="H31" s="244"/>
      <c r="I31" s="244"/>
      <c r="J31" s="244"/>
      <c r="K31" s="244"/>
      <c r="L31" s="244"/>
      <c r="M31" s="244"/>
      <c r="N31" s="244"/>
    </row>
    <row r="32" spans="1:14" x14ac:dyDescent="0.25">
      <c r="A32" s="260">
        <v>31</v>
      </c>
      <c r="B32" s="245" t="s">
        <v>63</v>
      </c>
      <c r="C32" s="32"/>
      <c r="D32" s="277" t="str">
        <f>Summary!J9</f>
        <v>TEST-BC-003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1:14" x14ac:dyDescent="0.25">
      <c r="A33" s="260">
        <v>32</v>
      </c>
      <c r="B33" s="245" t="s">
        <v>64</v>
      </c>
      <c r="C33" s="24"/>
      <c r="D33" s="259">
        <f>Summary!O10</f>
        <v>2026</v>
      </c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7" spans="1:14" x14ac:dyDescent="0.25">
      <c r="M37" s="2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94"/>
  <sheetViews>
    <sheetView workbookViewId="0"/>
  </sheetViews>
  <sheetFormatPr baseColWidth="10" defaultColWidth="11.44140625" defaultRowHeight="13.2" x14ac:dyDescent="0.25"/>
  <cols>
    <col min="1" max="1" width="3.109375" style="174" customWidth="1"/>
    <col min="2" max="2" width="2.88671875" style="174" customWidth="1"/>
    <col min="3" max="3" width="2.6640625" style="174" customWidth="1"/>
    <col min="4" max="4" width="2.109375" style="174" customWidth="1"/>
    <col min="5" max="5" width="2.88671875" style="174" customWidth="1"/>
    <col min="6" max="6" width="13.6640625" style="174" customWidth="1"/>
    <col min="7" max="7" width="14.109375" style="174" customWidth="1"/>
    <col min="8" max="18" width="13.6640625" style="174" customWidth="1"/>
    <col min="19" max="19" width="12.44140625" style="174" customWidth="1"/>
    <col min="20" max="20" width="7.33203125" style="174" customWidth="1"/>
    <col min="21" max="21" width="6.33203125" style="174" customWidth="1"/>
    <col min="22" max="16384" width="11.44140625" style="174"/>
  </cols>
  <sheetData>
    <row r="1" spans="1:21" s="33" customFormat="1" ht="14.4" customHeight="1" x14ac:dyDescent="0.25">
      <c r="A1" s="52"/>
      <c r="B1" s="52"/>
      <c r="C1" s="52"/>
      <c r="D1" s="52"/>
      <c r="E1" s="52"/>
      <c r="F1" s="32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s="33" customFormat="1" ht="13.2" customHeight="1" x14ac:dyDescent="0.25">
      <c r="A2" s="52"/>
      <c r="B2" s="52"/>
      <c r="C2" s="52"/>
      <c r="D2" s="52"/>
      <c r="E2" s="52"/>
      <c r="F2" s="324"/>
      <c r="G2" s="227" t="s">
        <v>201</v>
      </c>
      <c r="H2" s="52"/>
      <c r="I2" s="52"/>
      <c r="J2" s="338" t="str">
        <f>J10</f>
        <v>PRODUCT 3 | Campaign Automation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</row>
    <row r="3" spans="1:21" s="33" customFormat="1" ht="13.8" customHeight="1" x14ac:dyDescent="1.05">
      <c r="A3" s="52"/>
      <c r="B3" s="52"/>
      <c r="C3" s="52"/>
      <c r="D3" s="52"/>
      <c r="E3" s="226"/>
      <c r="F3" s="324"/>
      <c r="G3" s="228" t="s">
        <v>66</v>
      </c>
      <c r="H3" s="52"/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</row>
    <row r="4" spans="1:21" s="33" customFormat="1" ht="12.6" customHeight="1" x14ac:dyDescent="0.25">
      <c r="A4" s="52"/>
      <c r="B4" s="52"/>
      <c r="C4" s="52"/>
      <c r="D4" s="52"/>
      <c r="E4" s="52"/>
      <c r="F4" s="324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ht="10.199999999999999" customHeight="1" x14ac:dyDescent="0.25">
      <c r="A5" s="181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81"/>
    </row>
    <row r="6" spans="1:21" ht="10.199999999999999" customHeight="1" x14ac:dyDescent="0.25">
      <c r="A6" s="181"/>
      <c r="B6" s="54"/>
      <c r="C6" s="54"/>
      <c r="D6" s="54"/>
      <c r="E6" s="54"/>
      <c r="F6" s="54"/>
      <c r="G6" s="54"/>
      <c r="R6" s="34"/>
      <c r="S6" s="54"/>
      <c r="T6" s="54"/>
      <c r="U6" s="181"/>
    </row>
    <row r="7" spans="1:21" ht="10.199999999999999" customHeight="1" x14ac:dyDescent="0.25">
      <c r="A7" s="181"/>
      <c r="B7" s="54"/>
      <c r="C7" s="54"/>
      <c r="D7" s="54"/>
      <c r="E7" s="54"/>
      <c r="F7" s="54"/>
      <c r="G7" s="54"/>
      <c r="I7" s="56" t="s">
        <v>199</v>
      </c>
      <c r="J7" s="330" t="s">
        <v>200</v>
      </c>
      <c r="K7" s="331"/>
      <c r="L7" s="332"/>
      <c r="M7" s="59"/>
      <c r="N7" s="57" t="s">
        <v>67</v>
      </c>
      <c r="O7" s="330" t="s">
        <v>202</v>
      </c>
      <c r="P7" s="331"/>
      <c r="Q7" s="332"/>
      <c r="R7" s="34"/>
      <c r="S7" s="54"/>
      <c r="T7" s="54"/>
      <c r="U7" s="181"/>
    </row>
    <row r="8" spans="1:21" ht="10.199999999999999" customHeight="1" x14ac:dyDescent="0.25">
      <c r="A8" s="181"/>
      <c r="B8" s="54"/>
      <c r="C8" s="54"/>
      <c r="D8" s="54"/>
      <c r="E8" s="54"/>
      <c r="F8" s="54"/>
      <c r="G8" s="54"/>
      <c r="I8" s="56" t="s">
        <v>203</v>
      </c>
      <c r="J8" s="330">
        <v>1003</v>
      </c>
      <c r="K8" s="331"/>
      <c r="L8" s="332"/>
      <c r="M8" s="59"/>
      <c r="N8" s="58" t="s">
        <v>68</v>
      </c>
      <c r="O8" s="330" t="s">
        <v>204</v>
      </c>
      <c r="P8" s="331"/>
      <c r="Q8" s="332"/>
      <c r="R8" s="34"/>
      <c r="S8" s="54"/>
      <c r="T8" s="54"/>
      <c r="U8" s="181"/>
    </row>
    <row r="9" spans="1:21" ht="10.199999999999999" customHeight="1" x14ac:dyDescent="0.25">
      <c r="A9" s="181"/>
      <c r="B9" s="54"/>
      <c r="C9" s="54"/>
      <c r="D9" s="54"/>
      <c r="E9" s="54"/>
      <c r="F9" s="54"/>
      <c r="G9" s="54"/>
      <c r="I9" s="56" t="s">
        <v>69</v>
      </c>
      <c r="J9" s="330" t="s">
        <v>205</v>
      </c>
      <c r="K9" s="331"/>
      <c r="L9" s="332"/>
      <c r="M9" s="59"/>
      <c r="N9" s="56" t="s">
        <v>70</v>
      </c>
      <c r="O9" s="333">
        <v>46037</v>
      </c>
      <c r="P9" s="334"/>
      <c r="Q9" s="335"/>
      <c r="R9" s="34"/>
      <c r="S9" s="54"/>
      <c r="T9" s="54"/>
      <c r="U9" s="181"/>
    </row>
    <row r="10" spans="1:21" ht="10.199999999999999" customHeight="1" x14ac:dyDescent="0.25">
      <c r="A10" s="181"/>
      <c r="B10" s="54"/>
      <c r="C10" s="54"/>
      <c r="D10" s="54"/>
      <c r="E10" s="54"/>
      <c r="F10" s="54"/>
      <c r="G10" s="54"/>
      <c r="I10" s="56" t="s">
        <v>71</v>
      </c>
      <c r="J10" s="340" t="s">
        <v>206</v>
      </c>
      <c r="K10" s="341"/>
      <c r="L10" s="342"/>
      <c r="M10" s="59"/>
      <c r="N10" s="56" t="s">
        <v>72</v>
      </c>
      <c r="O10" s="327">
        <v>2026</v>
      </c>
      <c r="P10" s="328"/>
      <c r="Q10" s="329"/>
      <c r="R10" s="34"/>
      <c r="S10" s="54"/>
      <c r="T10" s="54"/>
      <c r="U10" s="181"/>
    </row>
    <row r="11" spans="1:21" ht="10.199999999999999" customHeight="1" x14ac:dyDescent="0.25">
      <c r="A11" s="181"/>
      <c r="B11" s="54"/>
      <c r="C11" s="54"/>
      <c r="D11" s="54"/>
      <c r="E11" s="54"/>
      <c r="F11" s="54"/>
      <c r="G11" s="54"/>
      <c r="I11" s="56" t="s">
        <v>73</v>
      </c>
      <c r="J11" s="330" t="s">
        <v>207</v>
      </c>
      <c r="K11" s="331"/>
      <c r="L11" s="332"/>
      <c r="M11" s="59"/>
      <c r="N11" s="56" t="s">
        <v>74</v>
      </c>
      <c r="O11" s="327">
        <v>2027</v>
      </c>
      <c r="P11" s="328"/>
      <c r="Q11" s="329"/>
      <c r="R11" s="34"/>
      <c r="S11" s="54"/>
      <c r="T11" s="54"/>
      <c r="U11" s="181"/>
    </row>
    <row r="12" spans="1:21" ht="10.199999999999999" customHeight="1" x14ac:dyDescent="0.25">
      <c r="A12" s="181"/>
      <c r="B12" s="54"/>
      <c r="C12" s="54"/>
      <c r="D12" s="54"/>
      <c r="E12" s="54"/>
      <c r="F12" s="54"/>
      <c r="G12" s="54"/>
      <c r="I12" s="56"/>
      <c r="J12" s="59"/>
      <c r="K12" s="59"/>
      <c r="L12" s="59"/>
      <c r="M12" s="59"/>
      <c r="N12" s="175"/>
      <c r="O12" s="175"/>
      <c r="P12" s="175"/>
      <c r="Q12" s="175"/>
      <c r="R12" s="34"/>
      <c r="S12" s="54"/>
      <c r="T12" s="54"/>
      <c r="U12" s="181"/>
    </row>
    <row r="13" spans="1:21" ht="10.199999999999999" customHeight="1" x14ac:dyDescent="0.25">
      <c r="A13" s="181"/>
      <c r="B13" s="54"/>
      <c r="C13" s="54"/>
      <c r="D13" s="54"/>
      <c r="E13" s="54"/>
      <c r="F13" s="54"/>
      <c r="G13" s="54"/>
      <c r="H13" s="181"/>
      <c r="I13" s="182"/>
      <c r="J13" s="183"/>
      <c r="K13" s="183"/>
      <c r="L13" s="183"/>
      <c r="M13" s="183"/>
      <c r="N13" s="181"/>
      <c r="O13" s="181"/>
      <c r="P13" s="181"/>
      <c r="Q13" s="181"/>
      <c r="R13" s="54"/>
      <c r="S13" s="54"/>
      <c r="T13" s="54"/>
      <c r="U13" s="181"/>
    </row>
    <row r="14" spans="1:21" ht="10.199999999999999" customHeight="1" x14ac:dyDescent="0.25">
      <c r="A14" s="181"/>
      <c r="B14" s="107"/>
      <c r="C14" s="98"/>
      <c r="D14" s="98"/>
      <c r="E14" s="98"/>
      <c r="F14" s="98"/>
      <c r="G14" s="98"/>
      <c r="H14" s="188"/>
      <c r="I14" s="189"/>
      <c r="J14" s="190"/>
      <c r="K14" s="190"/>
      <c r="L14" s="190"/>
      <c r="M14" s="190"/>
      <c r="N14" s="188"/>
      <c r="O14" s="188"/>
      <c r="P14" s="188"/>
      <c r="Q14" s="188"/>
      <c r="R14" s="98"/>
      <c r="S14" s="98"/>
      <c r="T14" s="100"/>
      <c r="U14" s="181"/>
    </row>
    <row r="15" spans="1:21" s="20" customFormat="1" ht="10.199999999999999" customHeight="1" x14ac:dyDescent="0.25">
      <c r="A15" s="187"/>
      <c r="B15" s="191"/>
      <c r="F15" s="159" t="s">
        <v>40</v>
      </c>
      <c r="G15" s="159"/>
      <c r="H15" s="160"/>
      <c r="I15" s="88">
        <f>O10</f>
        <v>2026</v>
      </c>
      <c r="J15" s="158">
        <f>O10+1</f>
        <v>2027</v>
      </c>
      <c r="K15" s="158">
        <f>O10+2</f>
        <v>2028</v>
      </c>
      <c r="L15" s="158">
        <f>O10+3</f>
        <v>2029</v>
      </c>
      <c r="M15" s="158">
        <f>O10+4</f>
        <v>2030</v>
      </c>
      <c r="N15" s="158">
        <f>O10+5</f>
        <v>2031</v>
      </c>
      <c r="O15" s="158">
        <f>O10+6</f>
        <v>2032</v>
      </c>
      <c r="P15" s="158">
        <f>O10+7</f>
        <v>2033</v>
      </c>
      <c r="Q15" s="158">
        <f>O10+8</f>
        <v>2034</v>
      </c>
      <c r="R15" s="158">
        <f>O10+9</f>
        <v>2035</v>
      </c>
      <c r="S15" s="158" t="s">
        <v>75</v>
      </c>
      <c r="T15" s="192"/>
      <c r="U15" s="187"/>
    </row>
    <row r="16" spans="1:21" s="20" customFormat="1" ht="12" customHeight="1" x14ac:dyDescent="0.25">
      <c r="A16" s="187"/>
      <c r="B16" s="191"/>
      <c r="C16" s="65" t="s">
        <v>76</v>
      </c>
      <c r="D16" s="184"/>
      <c r="E16" s="65"/>
      <c r="F16" s="65"/>
      <c r="G16" s="64"/>
      <c r="H16" s="65"/>
      <c r="I16" s="65"/>
      <c r="J16" s="64"/>
      <c r="K16" s="185"/>
      <c r="L16" s="185"/>
      <c r="M16" s="185"/>
      <c r="N16" s="185"/>
      <c r="O16" s="185"/>
      <c r="P16" s="185"/>
      <c r="Q16" s="185"/>
      <c r="R16" s="185"/>
      <c r="S16" s="222"/>
      <c r="T16" s="192"/>
      <c r="U16" s="187"/>
    </row>
    <row r="17" spans="1:21" s="20" customFormat="1" x14ac:dyDescent="0.25">
      <c r="A17" s="187"/>
      <c r="B17" s="191"/>
      <c r="E17" s="184"/>
      <c r="F17" s="230" t="s">
        <v>77</v>
      </c>
      <c r="G17" s="231"/>
      <c r="H17" s="232"/>
      <c r="I17" s="301">
        <f>'Costs &amp; Benefits'!J50</f>
        <v>100000</v>
      </c>
      <c r="J17" s="301">
        <f>'Costs &amp; Benefits'!K50</f>
        <v>75000</v>
      </c>
      <c r="K17" s="301">
        <f>'Costs &amp; Benefits'!L50</f>
        <v>75000</v>
      </c>
      <c r="L17" s="301">
        <f>'Costs &amp; Benefits'!M50</f>
        <v>75000</v>
      </c>
      <c r="M17" s="301">
        <f>'Costs &amp; Benefits'!N50</f>
        <v>75000</v>
      </c>
      <c r="N17" s="301">
        <f>'Costs &amp; Benefits'!O50</f>
        <v>75000</v>
      </c>
      <c r="O17" s="301">
        <f>'Costs &amp; Benefits'!P50</f>
        <v>75000</v>
      </c>
      <c r="P17" s="301">
        <f>'Costs &amp; Benefits'!Q50</f>
        <v>75000</v>
      </c>
      <c r="Q17" s="301">
        <f>'Costs &amp; Benefits'!R50</f>
        <v>75000</v>
      </c>
      <c r="R17" s="301">
        <f>'Costs &amp; Benefits'!S50</f>
        <v>75000</v>
      </c>
      <c r="S17" s="302">
        <f>SUM(I17:R17)</f>
        <v>775000</v>
      </c>
      <c r="T17" s="192"/>
      <c r="U17" s="187"/>
    </row>
    <row r="18" spans="1:21" s="20" customFormat="1" x14ac:dyDescent="0.25">
      <c r="A18" s="187"/>
      <c r="B18" s="191"/>
      <c r="E18" s="184"/>
      <c r="F18" s="230" t="s">
        <v>78</v>
      </c>
      <c r="G18" s="231"/>
      <c r="H18" s="232"/>
      <c r="I18" s="303">
        <f>'Costs &amp; Benefits'!J84</f>
        <v>8000</v>
      </c>
      <c r="J18" s="303">
        <f>'Costs &amp; Benefits'!K84</f>
        <v>56000</v>
      </c>
      <c r="K18" s="303">
        <f>'Costs &amp; Benefits'!L84</f>
        <v>96000</v>
      </c>
      <c r="L18" s="303">
        <f>'Costs &amp; Benefits'!M84</f>
        <v>96000</v>
      </c>
      <c r="M18" s="303">
        <f>'Costs &amp; Benefits'!N84</f>
        <v>96000</v>
      </c>
      <c r="N18" s="303">
        <f>'Costs &amp; Benefits'!O84</f>
        <v>88000</v>
      </c>
      <c r="O18" s="303">
        <f>'Costs &amp; Benefits'!P84</f>
        <v>40000</v>
      </c>
      <c r="P18" s="303">
        <f>'Costs &amp; Benefits'!Q84</f>
        <v>0</v>
      </c>
      <c r="Q18" s="303">
        <f>'Costs &amp; Benefits'!R84</f>
        <v>0</v>
      </c>
      <c r="R18" s="303">
        <f>'Costs &amp; Benefits'!S84</f>
        <v>0</v>
      </c>
      <c r="S18" s="302">
        <f t="shared" ref="S18:S24" si="0">SUM(I18:R18)</f>
        <v>480000</v>
      </c>
      <c r="T18" s="192"/>
      <c r="U18" s="187"/>
    </row>
    <row r="19" spans="1:21" s="20" customFormat="1" ht="10.199999999999999" customHeight="1" x14ac:dyDescent="0.25">
      <c r="A19" s="187"/>
      <c r="B19" s="191"/>
      <c r="E19" s="184"/>
      <c r="F19" s="323" t="s">
        <v>79</v>
      </c>
      <c r="G19" s="323"/>
      <c r="H19" s="323"/>
      <c r="I19" s="304">
        <f t="shared" ref="I19:R19" si="1">I17+I18</f>
        <v>108000</v>
      </c>
      <c r="J19" s="304">
        <f t="shared" si="1"/>
        <v>131000</v>
      </c>
      <c r="K19" s="304">
        <f t="shared" si="1"/>
        <v>171000</v>
      </c>
      <c r="L19" s="304">
        <f t="shared" si="1"/>
        <v>171000</v>
      </c>
      <c r="M19" s="304">
        <f t="shared" si="1"/>
        <v>171000</v>
      </c>
      <c r="N19" s="304">
        <f t="shared" si="1"/>
        <v>163000</v>
      </c>
      <c r="O19" s="304">
        <f t="shared" si="1"/>
        <v>115000</v>
      </c>
      <c r="P19" s="304">
        <f t="shared" si="1"/>
        <v>75000</v>
      </c>
      <c r="Q19" s="304">
        <f t="shared" si="1"/>
        <v>75000</v>
      </c>
      <c r="R19" s="304">
        <f t="shared" si="1"/>
        <v>75000</v>
      </c>
      <c r="S19" s="304">
        <f t="shared" si="0"/>
        <v>1255000</v>
      </c>
      <c r="T19" s="192"/>
      <c r="U19" s="187"/>
    </row>
    <row r="20" spans="1:21" s="20" customFormat="1" ht="10.199999999999999" customHeight="1" x14ac:dyDescent="0.25">
      <c r="A20" s="187"/>
      <c r="B20" s="191"/>
      <c r="E20" s="184"/>
      <c r="F20" s="230" t="s">
        <v>80</v>
      </c>
      <c r="G20" s="231"/>
      <c r="H20" s="232"/>
      <c r="I20" s="303">
        <f>'Costs &amp; Benefits'!J101</f>
        <v>0</v>
      </c>
      <c r="J20" s="303">
        <f>'Costs &amp; Benefits'!K101</f>
        <v>200000</v>
      </c>
      <c r="K20" s="303">
        <f>'Costs &amp; Benefits'!L101</f>
        <v>400000</v>
      </c>
      <c r="L20" s="303">
        <f>'Costs &amp; Benefits'!M101</f>
        <v>600000</v>
      </c>
      <c r="M20" s="303">
        <f>'Costs &amp; Benefits'!N101</f>
        <v>700000</v>
      </c>
      <c r="N20" s="303">
        <f>'Costs &amp; Benefits'!O101</f>
        <v>700000</v>
      </c>
      <c r="O20" s="303">
        <f>'Costs &amp; Benefits'!P101</f>
        <v>700000</v>
      </c>
      <c r="P20" s="303">
        <f>'Costs &amp; Benefits'!Q101</f>
        <v>700000</v>
      </c>
      <c r="Q20" s="303">
        <f>'Costs &amp; Benefits'!R101</f>
        <v>700000</v>
      </c>
      <c r="R20" s="303">
        <f>'Costs &amp; Benefits'!S101</f>
        <v>700000</v>
      </c>
      <c r="S20" s="302">
        <f t="shared" si="0"/>
        <v>5400000</v>
      </c>
      <c r="T20" s="192"/>
      <c r="U20" s="187"/>
    </row>
    <row r="21" spans="1:21" s="20" customFormat="1" ht="10.199999999999999" customHeight="1" x14ac:dyDescent="0.25">
      <c r="A21" s="187"/>
      <c r="B21" s="191"/>
      <c r="E21" s="184"/>
      <c r="F21" s="230" t="s">
        <v>81</v>
      </c>
      <c r="G21" s="231"/>
      <c r="H21" s="232"/>
      <c r="I21" s="303">
        <f>'Costs &amp; Benefits'!J113</f>
        <v>0</v>
      </c>
      <c r="J21" s="303">
        <f>'Costs &amp; Benefits'!K113</f>
        <v>50000</v>
      </c>
      <c r="K21" s="303">
        <f>'Costs &amp; Benefits'!L113</f>
        <v>100000</v>
      </c>
      <c r="L21" s="303">
        <f>'Costs &amp; Benefits'!M113</f>
        <v>130000</v>
      </c>
      <c r="M21" s="303">
        <f>'Costs &amp; Benefits'!N113</f>
        <v>130000</v>
      </c>
      <c r="N21" s="303">
        <f>'Costs &amp; Benefits'!O113</f>
        <v>130000</v>
      </c>
      <c r="O21" s="303">
        <f>'Costs &amp; Benefits'!P113</f>
        <v>130000</v>
      </c>
      <c r="P21" s="303">
        <f>'Costs &amp; Benefits'!Q113</f>
        <v>130000</v>
      </c>
      <c r="Q21" s="303">
        <f>'Costs &amp; Benefits'!R113</f>
        <v>130000</v>
      </c>
      <c r="R21" s="303">
        <f>'Costs &amp; Benefits'!S113</f>
        <v>130000</v>
      </c>
      <c r="S21" s="302">
        <f t="shared" si="0"/>
        <v>1060000</v>
      </c>
      <c r="T21" s="192"/>
      <c r="U21" s="187"/>
    </row>
    <row r="22" spans="1:21" s="20" customFormat="1" ht="10.199999999999999" customHeight="1" x14ac:dyDescent="0.25">
      <c r="A22" s="187"/>
      <c r="B22" s="191"/>
      <c r="E22" s="184"/>
      <c r="F22" s="323" t="s">
        <v>82</v>
      </c>
      <c r="G22" s="323"/>
      <c r="H22" s="323"/>
      <c r="I22" s="304">
        <f t="shared" ref="I22:R22" si="2">I20+I21</f>
        <v>0</v>
      </c>
      <c r="J22" s="304">
        <f t="shared" si="2"/>
        <v>250000</v>
      </c>
      <c r="K22" s="304">
        <f t="shared" si="2"/>
        <v>500000</v>
      </c>
      <c r="L22" s="304">
        <f t="shared" si="2"/>
        <v>730000</v>
      </c>
      <c r="M22" s="304">
        <f t="shared" si="2"/>
        <v>830000</v>
      </c>
      <c r="N22" s="304">
        <f t="shared" si="2"/>
        <v>830000</v>
      </c>
      <c r="O22" s="304">
        <f t="shared" si="2"/>
        <v>830000</v>
      </c>
      <c r="P22" s="304">
        <f t="shared" si="2"/>
        <v>830000</v>
      </c>
      <c r="Q22" s="304">
        <f t="shared" si="2"/>
        <v>830000</v>
      </c>
      <c r="R22" s="304">
        <f t="shared" si="2"/>
        <v>830000</v>
      </c>
      <c r="S22" s="304">
        <f t="shared" si="0"/>
        <v>6460000</v>
      </c>
      <c r="T22" s="192"/>
      <c r="U22" s="187"/>
    </row>
    <row r="23" spans="1:21" s="20" customFormat="1" ht="10.199999999999999" customHeight="1" x14ac:dyDescent="0.25">
      <c r="A23" s="187"/>
      <c r="B23" s="191"/>
      <c r="E23" s="184"/>
      <c r="F23" s="186"/>
      <c r="G23" s="186"/>
      <c r="H23" s="186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6"/>
      <c r="T23" s="193"/>
      <c r="U23" s="187"/>
    </row>
    <row r="24" spans="1:21" s="20" customFormat="1" ht="12" customHeight="1" x14ac:dyDescent="0.25">
      <c r="A24" s="187"/>
      <c r="B24" s="191"/>
      <c r="E24" s="219"/>
      <c r="F24" s="218" t="s">
        <v>83</v>
      </c>
      <c r="G24" s="220"/>
      <c r="H24" s="221"/>
      <c r="I24" s="307">
        <f t="shared" ref="I24:R24" si="3">I22-I19</f>
        <v>-108000</v>
      </c>
      <c r="J24" s="307">
        <f t="shared" si="3"/>
        <v>119000</v>
      </c>
      <c r="K24" s="307">
        <f t="shared" si="3"/>
        <v>329000</v>
      </c>
      <c r="L24" s="307">
        <f t="shared" si="3"/>
        <v>559000</v>
      </c>
      <c r="M24" s="307">
        <f t="shared" si="3"/>
        <v>659000</v>
      </c>
      <c r="N24" s="307">
        <f t="shared" si="3"/>
        <v>667000</v>
      </c>
      <c r="O24" s="307">
        <f t="shared" si="3"/>
        <v>715000</v>
      </c>
      <c r="P24" s="307">
        <f t="shared" si="3"/>
        <v>755000</v>
      </c>
      <c r="Q24" s="307">
        <f t="shared" si="3"/>
        <v>755000</v>
      </c>
      <c r="R24" s="307">
        <f t="shared" si="3"/>
        <v>755000</v>
      </c>
      <c r="S24" s="308">
        <f t="shared" si="0"/>
        <v>5205000</v>
      </c>
      <c r="T24" s="192"/>
      <c r="U24" s="187"/>
    </row>
    <row r="25" spans="1:21" s="20" customFormat="1" ht="10.199999999999999" customHeight="1" x14ac:dyDescent="0.25">
      <c r="A25" s="187"/>
      <c r="B25" s="191"/>
      <c r="T25" s="192"/>
      <c r="U25" s="187"/>
    </row>
    <row r="26" spans="1:21" ht="10.199999999999999" customHeight="1" x14ac:dyDescent="0.25">
      <c r="A26" s="181"/>
      <c r="B26" s="202"/>
      <c r="E26" s="176"/>
      <c r="F26" s="177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T26" s="203"/>
      <c r="U26" s="181"/>
    </row>
    <row r="27" spans="1:21" ht="10.199999999999999" customHeight="1" x14ac:dyDescent="0.25">
      <c r="A27" s="181"/>
      <c r="B27" s="202"/>
      <c r="F27" s="159" t="s">
        <v>40</v>
      </c>
      <c r="G27" s="159"/>
      <c r="H27" s="160" t="s">
        <v>84</v>
      </c>
      <c r="I27" s="180">
        <f>O10</f>
        <v>2026</v>
      </c>
      <c r="J27" s="180">
        <f>O10+1</f>
        <v>2027</v>
      </c>
      <c r="K27" s="180">
        <f>O10+2</f>
        <v>2028</v>
      </c>
      <c r="L27" s="180">
        <f>O10+3</f>
        <v>2029</v>
      </c>
      <c r="M27" s="180">
        <f>O10+4</f>
        <v>2030</v>
      </c>
      <c r="N27" s="180">
        <f>O10+5</f>
        <v>2031</v>
      </c>
      <c r="O27" s="180">
        <f>O10+6</f>
        <v>2032</v>
      </c>
      <c r="P27" s="180">
        <f>O10+7</f>
        <v>2033</v>
      </c>
      <c r="Q27" s="180">
        <f>O10+8</f>
        <v>2034</v>
      </c>
      <c r="R27" s="180">
        <f>O10+9</f>
        <v>2035</v>
      </c>
      <c r="S27" s="180" t="s">
        <v>75</v>
      </c>
      <c r="T27" s="203"/>
      <c r="U27" s="181"/>
    </row>
    <row r="28" spans="1:21" ht="12" customHeight="1" x14ac:dyDescent="0.25">
      <c r="A28" s="181"/>
      <c r="B28" s="202"/>
      <c r="C28" s="65" t="s">
        <v>85</v>
      </c>
      <c r="D28" s="195"/>
      <c r="E28" s="65"/>
      <c r="F28" s="184"/>
      <c r="G28" s="65"/>
      <c r="H28" s="65"/>
      <c r="I28" s="64"/>
      <c r="J28" s="65"/>
      <c r="K28" s="180"/>
      <c r="L28" s="180"/>
      <c r="M28" s="180"/>
      <c r="N28" s="180"/>
      <c r="O28" s="180"/>
      <c r="P28" s="180"/>
      <c r="Q28" s="180"/>
      <c r="R28" s="180"/>
      <c r="S28" s="180"/>
      <c r="T28" s="203"/>
      <c r="U28" s="181"/>
    </row>
    <row r="29" spans="1:21" ht="10.199999999999999" customHeight="1" x14ac:dyDescent="0.25">
      <c r="A29" s="181"/>
      <c r="B29" s="202"/>
      <c r="E29" s="195"/>
      <c r="F29" s="230" t="s">
        <v>77</v>
      </c>
      <c r="G29" s="231"/>
      <c r="H29" s="232"/>
      <c r="I29" s="303">
        <f>'Costs &amp; Benefits'!J125</f>
        <v>100000</v>
      </c>
      <c r="J29" s="303">
        <f>'Costs &amp; Benefits'!K125</f>
        <v>75000</v>
      </c>
      <c r="K29" s="303">
        <f>'Costs &amp; Benefits'!L125</f>
        <v>75000</v>
      </c>
      <c r="L29" s="303">
        <f>'Costs &amp; Benefits'!M125</f>
        <v>75000</v>
      </c>
      <c r="M29" s="303">
        <f>'Costs &amp; Benefits'!N125</f>
        <v>75000</v>
      </c>
      <c r="N29" s="303">
        <f>'Costs &amp; Benefits'!O125</f>
        <v>75000</v>
      </c>
      <c r="O29" s="303">
        <f>'Costs &amp; Benefits'!P125</f>
        <v>75000</v>
      </c>
      <c r="P29" s="303">
        <f>'Costs &amp; Benefits'!Q125</f>
        <v>75000</v>
      </c>
      <c r="Q29" s="303">
        <f>'Costs &amp; Benefits'!R125</f>
        <v>75000</v>
      </c>
      <c r="R29" s="303">
        <f>'Costs &amp; Benefits'!S125</f>
        <v>75000</v>
      </c>
      <c r="S29" s="309">
        <f>SUM(I29:R29)</f>
        <v>775000</v>
      </c>
      <c r="T29" s="203"/>
      <c r="U29" s="181"/>
    </row>
    <row r="30" spans="1:21" ht="10.8" customHeight="1" x14ac:dyDescent="0.25">
      <c r="A30" s="181"/>
      <c r="B30" s="202"/>
      <c r="E30" s="195"/>
      <c r="F30" s="230" t="s">
        <v>86</v>
      </c>
      <c r="G30" s="231"/>
      <c r="H30" s="232"/>
      <c r="I30" s="303">
        <f>'Costs &amp; Benefits'!J126</f>
        <v>8000</v>
      </c>
      <c r="J30" s="303">
        <f>'Costs &amp; Benefits'!K126</f>
        <v>56000</v>
      </c>
      <c r="K30" s="303">
        <f>'Costs &amp; Benefits'!L126</f>
        <v>96000</v>
      </c>
      <c r="L30" s="303">
        <f>'Costs &amp; Benefits'!M126</f>
        <v>96000</v>
      </c>
      <c r="M30" s="303">
        <f>'Costs &amp; Benefits'!N126</f>
        <v>96000</v>
      </c>
      <c r="N30" s="303">
        <f>'Costs &amp; Benefits'!O126</f>
        <v>88000</v>
      </c>
      <c r="O30" s="303">
        <f>'Costs &amp; Benefits'!P126</f>
        <v>40000</v>
      </c>
      <c r="P30" s="303">
        <f>'Costs &amp; Benefits'!Q126</f>
        <v>0</v>
      </c>
      <c r="Q30" s="303">
        <f>'Costs &amp; Benefits'!R126</f>
        <v>0</v>
      </c>
      <c r="R30" s="303">
        <f>'Costs &amp; Benefits'!S126</f>
        <v>0</v>
      </c>
      <c r="S30" s="309">
        <f t="shared" ref="S30:S37" si="4">SUM(I30:R30)</f>
        <v>480000</v>
      </c>
      <c r="T30" s="203"/>
      <c r="U30" s="181"/>
    </row>
    <row r="31" spans="1:21" ht="10.199999999999999" customHeight="1" x14ac:dyDescent="0.25">
      <c r="A31" s="181"/>
      <c r="B31" s="202"/>
      <c r="E31" s="195"/>
      <c r="F31" s="230" t="s">
        <v>87</v>
      </c>
      <c r="G31" s="231"/>
      <c r="H31" s="232"/>
      <c r="I31" s="303">
        <f>'Costs &amp; Benefits'!J127</f>
        <v>0</v>
      </c>
      <c r="J31" s="303">
        <v>250000</v>
      </c>
      <c r="K31" s="303">
        <v>500000</v>
      </c>
      <c r="L31" s="303">
        <v>730000</v>
      </c>
      <c r="M31" s="303">
        <v>830000</v>
      </c>
      <c r="N31" s="303">
        <v>830000</v>
      </c>
      <c r="O31" s="303">
        <v>830000</v>
      </c>
      <c r="P31" s="303">
        <v>830000</v>
      </c>
      <c r="Q31" s="303">
        <v>830000</v>
      </c>
      <c r="R31" s="303">
        <v>830000</v>
      </c>
      <c r="S31" s="309">
        <f t="shared" si="4"/>
        <v>6460000</v>
      </c>
      <c r="T31" s="203"/>
      <c r="U31" s="181"/>
    </row>
    <row r="32" spans="1:21" ht="10.199999999999999" customHeight="1" x14ac:dyDescent="0.25">
      <c r="A32" s="181"/>
      <c r="B32" s="202"/>
      <c r="E32" s="195"/>
      <c r="F32" s="343" t="s">
        <v>88</v>
      </c>
      <c r="G32" s="339"/>
      <c r="H32" s="339"/>
      <c r="I32" s="310">
        <f>'Costs &amp; Benefits'!J128</f>
        <v>-108000</v>
      </c>
      <c r="J32" s="310">
        <f>'Costs &amp; Benefits'!K128</f>
        <v>119000</v>
      </c>
      <c r="K32" s="310">
        <f>'Costs &amp; Benefits'!L128</f>
        <v>329000</v>
      </c>
      <c r="L32" s="310">
        <f>'Costs &amp; Benefits'!M128</f>
        <v>559000</v>
      </c>
      <c r="M32" s="310">
        <f>'Costs &amp; Benefits'!N128</f>
        <v>659000</v>
      </c>
      <c r="N32" s="310">
        <f>'Costs &amp; Benefits'!O128</f>
        <v>667000</v>
      </c>
      <c r="O32" s="310">
        <f>'Costs &amp; Benefits'!P128</f>
        <v>715000</v>
      </c>
      <c r="P32" s="310">
        <f>'Costs &amp; Benefits'!Q128</f>
        <v>755000</v>
      </c>
      <c r="Q32" s="310">
        <f>'Costs &amp; Benefits'!R128</f>
        <v>755000</v>
      </c>
      <c r="R32" s="310">
        <f>'Costs &amp; Benefits'!S128</f>
        <v>755000</v>
      </c>
      <c r="S32" s="311">
        <f t="shared" si="4"/>
        <v>5205000</v>
      </c>
      <c r="T32" s="203"/>
      <c r="U32" s="181"/>
    </row>
    <row r="33" spans="1:25" ht="10.199999999999999" customHeight="1" x14ac:dyDescent="0.25">
      <c r="A33" s="181"/>
      <c r="B33" s="202"/>
      <c r="E33" s="195"/>
      <c r="F33" s="230" t="s">
        <v>89</v>
      </c>
      <c r="G33" s="231"/>
      <c r="H33" s="232"/>
      <c r="I33" s="303">
        <f>'Costs &amp; Benefits'!J129</f>
        <v>29093.781883335963</v>
      </c>
      <c r="J33" s="303">
        <f>'Costs &amp; Benefits'!K129</f>
        <v>-32057.037445527592</v>
      </c>
      <c r="K33" s="303">
        <f>'Costs &amp; Benefits'!L129</f>
        <v>-88628.27999645863</v>
      </c>
      <c r="L33" s="303">
        <f>'Costs &amp; Benefits'!M129</f>
        <v>-150587.25993319263</v>
      </c>
      <c r="M33" s="303">
        <f>'Costs &amp; Benefits'!N129</f>
        <v>-177525.94686220741</v>
      </c>
      <c r="N33" s="303">
        <f>'Costs &amp; Benefits'!O129</f>
        <v>-179681.0418165286</v>
      </c>
      <c r="O33" s="303">
        <f>'Costs &amp; Benefits'!P129</f>
        <v>-192611.61154245571</v>
      </c>
      <c r="P33" s="303">
        <f>'Costs &amp; Benefits'!Q129</f>
        <v>-203387.0863140616</v>
      </c>
      <c r="Q33" s="303">
        <f>'Costs &amp; Benefits'!R129</f>
        <v>-203387.0863140616</v>
      </c>
      <c r="R33" s="303">
        <f>'Costs &amp; Benefits'!S129</f>
        <v>-203387.0863140616</v>
      </c>
      <c r="S33" s="309">
        <f t="shared" si="4"/>
        <v>-1402158.6546552195</v>
      </c>
      <c r="T33" s="203"/>
      <c r="U33" s="181"/>
    </row>
    <row r="34" spans="1:25" ht="10.199999999999999" customHeight="1" x14ac:dyDescent="0.25">
      <c r="A34" s="181"/>
      <c r="B34" s="202"/>
      <c r="E34" s="195"/>
      <c r="F34" s="343" t="s">
        <v>90</v>
      </c>
      <c r="G34" s="339"/>
      <c r="H34" s="339"/>
      <c r="I34" s="310">
        <f>'Costs &amp; Benefits'!J130</f>
        <v>-78906.218116664037</v>
      </c>
      <c r="J34" s="310">
        <f>'Costs &amp; Benefits'!K130</f>
        <v>86942.962554472411</v>
      </c>
      <c r="K34" s="310">
        <f>'Costs &amp; Benefits'!L130</f>
        <v>240371.72000354138</v>
      </c>
      <c r="L34" s="310">
        <f>'Costs &amp; Benefits'!M130</f>
        <v>408412.74006680737</v>
      </c>
      <c r="M34" s="310">
        <f>'Costs &amp; Benefits'!N130</f>
        <v>481474.05313779262</v>
      </c>
      <c r="N34" s="310">
        <f>'Costs &amp; Benefits'!O130</f>
        <v>487318.9581834714</v>
      </c>
      <c r="O34" s="310">
        <f>'Costs &amp; Benefits'!P130</f>
        <v>522388.38845754426</v>
      </c>
      <c r="P34" s="310">
        <f>'Costs &amp; Benefits'!Q130</f>
        <v>551612.91368593834</v>
      </c>
      <c r="Q34" s="310">
        <f>'Costs &amp; Benefits'!R130</f>
        <v>551612.91368593834</v>
      </c>
      <c r="R34" s="310">
        <f>'Costs &amp; Benefits'!S130</f>
        <v>551612.91368593834</v>
      </c>
      <c r="S34" s="311">
        <f t="shared" si="4"/>
        <v>3802841.3453447805</v>
      </c>
      <c r="T34" s="203"/>
      <c r="U34" s="181"/>
    </row>
    <row r="35" spans="1:25" ht="10.199999999999999" customHeight="1" x14ac:dyDescent="0.25">
      <c r="A35" s="181"/>
      <c r="B35" s="202"/>
      <c r="E35" s="195"/>
      <c r="F35" s="230" t="s">
        <v>91</v>
      </c>
      <c r="G35" s="231"/>
      <c r="H35" s="232"/>
      <c r="I35" s="303">
        <f>'Costs &amp; Benefits'!J131</f>
        <v>72000</v>
      </c>
      <c r="J35" s="303">
        <f>'Costs &amp; Benefits'!K131</f>
        <v>416000</v>
      </c>
      <c r="K35" s="303">
        <f>'Costs &amp; Benefits'!L131</f>
        <v>320000</v>
      </c>
      <c r="L35" s="303">
        <f>'Costs &amp; Benefits'!M131</f>
        <v>224000</v>
      </c>
      <c r="M35" s="303">
        <f>'Costs &amp; Benefits'!N131</f>
        <v>128000</v>
      </c>
      <c r="N35" s="303">
        <f>'Costs &amp; Benefits'!O131</f>
        <v>40000</v>
      </c>
      <c r="O35" s="303">
        <f>'Costs &amp; Benefits'!P131</f>
        <v>0</v>
      </c>
      <c r="P35" s="303">
        <f>'Costs &amp; Benefits'!Q131</f>
        <v>0</v>
      </c>
      <c r="Q35" s="303">
        <f>'Costs &amp; Benefits'!R131</f>
        <v>0</v>
      </c>
      <c r="R35" s="303">
        <f>'Costs &amp; Benefits'!S131</f>
        <v>0</v>
      </c>
      <c r="S35" s="309">
        <f t="shared" si="4"/>
        <v>1200000</v>
      </c>
      <c r="T35" s="203"/>
      <c r="U35" s="181"/>
    </row>
    <row r="36" spans="1:25" ht="10.199999999999999" customHeight="1" x14ac:dyDescent="0.25">
      <c r="A36" s="181"/>
      <c r="B36" s="202"/>
      <c r="E36" s="195"/>
      <c r="F36" s="230" t="s">
        <v>92</v>
      </c>
      <c r="G36" s="231"/>
      <c r="H36" s="232"/>
      <c r="I36" s="312">
        <f>'Costs &amp; Benefits'!J132</f>
        <v>-4183.5185925609403</v>
      </c>
      <c r="J36" s="312">
        <f>'Costs &amp; Benefits'!K132</f>
        <v>-24171.440757018765</v>
      </c>
      <c r="K36" s="312">
        <f>'Costs &amp; Benefits'!L132</f>
        <v>-18593.415966937511</v>
      </c>
      <c r="L36" s="312">
        <f>'Costs &amp; Benefits'!M132</f>
        <v>-13015.391176856259</v>
      </c>
      <c r="M36" s="312">
        <f>'Costs &amp; Benefits'!N132</f>
        <v>-7437.3663867750047</v>
      </c>
      <c r="N36" s="312">
        <f>'Costs &amp; Benefits'!O132</f>
        <v>-2324.1769958671889</v>
      </c>
      <c r="O36" s="312">
        <f>'Costs &amp; Benefits'!P132</f>
        <v>0</v>
      </c>
      <c r="P36" s="312">
        <f>'Costs &amp; Benefits'!Q132</f>
        <v>0</v>
      </c>
      <c r="Q36" s="312">
        <f>'Costs &amp; Benefits'!R132</f>
        <v>0</v>
      </c>
      <c r="R36" s="312">
        <f>'Costs &amp; Benefits'!S132</f>
        <v>0</v>
      </c>
      <c r="S36" s="313">
        <f t="shared" si="4"/>
        <v>-69725.309876015672</v>
      </c>
      <c r="T36" s="203"/>
      <c r="U36" s="181"/>
    </row>
    <row r="37" spans="1:25" ht="10.199999999999999" customHeight="1" x14ac:dyDescent="0.25">
      <c r="A37" s="181"/>
      <c r="B37" s="202"/>
      <c r="E37" s="195"/>
      <c r="F37" s="343" t="s">
        <v>93</v>
      </c>
      <c r="G37" s="339"/>
      <c r="H37" s="339"/>
      <c r="I37" s="304">
        <f>'Costs &amp; Benefits'!J133</f>
        <v>-83089.736709224977</v>
      </c>
      <c r="J37" s="304">
        <f>'Costs &amp; Benefits'!K133</f>
        <v>62771.52179745365</v>
      </c>
      <c r="K37" s="304">
        <f>'Costs &amp; Benefits'!L133</f>
        <v>221778.30403660386</v>
      </c>
      <c r="L37" s="304">
        <f>'Costs &amp; Benefits'!M133</f>
        <v>395397.34888995113</v>
      </c>
      <c r="M37" s="304">
        <f>'Costs &amp; Benefits'!N133</f>
        <v>474036.68675101764</v>
      </c>
      <c r="N37" s="304">
        <f>'Costs &amp; Benefits'!O133</f>
        <v>484994.78118760424</v>
      </c>
      <c r="O37" s="304">
        <f>'Costs &amp; Benefits'!P133</f>
        <v>522388.38845754426</v>
      </c>
      <c r="P37" s="304">
        <f>'Costs &amp; Benefits'!Q133</f>
        <v>551612.91368593834</v>
      </c>
      <c r="Q37" s="304">
        <f>'Costs &amp; Benefits'!R133</f>
        <v>551612.91368593834</v>
      </c>
      <c r="R37" s="304">
        <f>'Costs &amp; Benefits'!S133</f>
        <v>551612.91368593834</v>
      </c>
      <c r="S37" s="304">
        <f t="shared" si="4"/>
        <v>3733116.0354687646</v>
      </c>
      <c r="T37" s="203"/>
      <c r="U37" s="181"/>
    </row>
    <row r="38" spans="1:25" ht="10.199999999999999" customHeight="1" x14ac:dyDescent="0.25">
      <c r="A38" s="54"/>
      <c r="B38" s="108"/>
      <c r="C38" s="34"/>
      <c r="D38" s="34"/>
      <c r="E38" s="196"/>
      <c r="F38" s="197"/>
      <c r="G38" s="198"/>
      <c r="H38" s="198"/>
      <c r="I38" s="314"/>
      <c r="J38" s="314"/>
      <c r="K38" s="315"/>
      <c r="L38" s="316"/>
      <c r="M38" s="316"/>
      <c r="N38" s="316"/>
      <c r="O38" s="316"/>
      <c r="P38" s="316"/>
      <c r="Q38" s="316"/>
      <c r="R38" s="316"/>
      <c r="S38" s="317"/>
      <c r="T38" s="204"/>
      <c r="U38" s="181"/>
    </row>
    <row r="39" spans="1:25" ht="12" customHeight="1" x14ac:dyDescent="0.25">
      <c r="A39" s="54"/>
      <c r="B39" s="108"/>
      <c r="C39" s="34"/>
      <c r="D39" s="34"/>
      <c r="E39" s="65" t="s">
        <v>94</v>
      </c>
      <c r="F39" s="65"/>
      <c r="G39" s="65"/>
      <c r="H39" s="65"/>
      <c r="I39" s="318">
        <f>'Costs &amp; Benefits'!J135</f>
        <v>-83089.736709224977</v>
      </c>
      <c r="J39" s="318">
        <f>'Costs &amp; Benefits'!K135</f>
        <v>59324.505521827938</v>
      </c>
      <c r="K39" s="318">
        <f>'Costs &amp; Benefits'!L135</f>
        <v>198089.74681665414</v>
      </c>
      <c r="L39" s="318">
        <f>'Costs &amp; Benefits'!M135</f>
        <v>333770.66296207276</v>
      </c>
      <c r="M39" s="318">
        <f>'Costs &amp; Benefits'!N135</f>
        <v>378179.36797549651</v>
      </c>
      <c r="N39" s="318">
        <f>'Costs &amp; Benefits'!O135</f>
        <v>365674.27795299212</v>
      </c>
      <c r="O39" s="318">
        <f>'Costs &amp; Benefits'!P135</f>
        <v>372239.39317528601</v>
      </c>
      <c r="P39" s="318">
        <f>'Costs &amp; Benefits'!Q135</f>
        <v>371479.37893752503</v>
      </c>
      <c r="Q39" s="318">
        <f>'Costs &amp; Benefits'!R135</f>
        <v>351080.07319201855</v>
      </c>
      <c r="R39" s="318">
        <f>'Costs &amp; Benefits'!S135</f>
        <v>331800.96872414107</v>
      </c>
      <c r="S39" s="319">
        <f>SUM(I39:R39)</f>
        <v>2678548.6385487886</v>
      </c>
      <c r="T39" s="142"/>
      <c r="U39" s="181"/>
      <c r="V39" s="175"/>
      <c r="W39" s="175"/>
      <c r="X39" s="175"/>
    </row>
    <row r="40" spans="1:25" s="33" customFormat="1" ht="12" customHeight="1" x14ac:dyDescent="0.25">
      <c r="A40" s="54"/>
      <c r="B40" s="108"/>
      <c r="C40" s="34"/>
      <c r="D40" s="34"/>
      <c r="E40" s="196"/>
      <c r="F40" s="197"/>
      <c r="G40" s="197"/>
      <c r="H40" s="197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1"/>
      <c r="T40" s="142"/>
      <c r="U40" s="209"/>
      <c r="V40" s="216"/>
      <c r="W40" s="199"/>
      <c r="X40" s="49"/>
      <c r="Y40" s="34"/>
    </row>
    <row r="41" spans="1:25" s="33" customFormat="1" ht="12" customHeight="1" x14ac:dyDescent="0.25">
      <c r="A41" s="54"/>
      <c r="B41" s="108"/>
      <c r="C41" s="34"/>
      <c r="D41" s="34"/>
      <c r="E41" s="218" t="s">
        <v>95</v>
      </c>
      <c r="F41" s="218"/>
      <c r="G41" s="218"/>
      <c r="H41" s="218"/>
      <c r="I41" s="307">
        <f>'Costs &amp; Benefits'!J136</f>
        <v>-83089.736709224977</v>
      </c>
      <c r="J41" s="307">
        <f>'Costs &amp; Benefits'!K136</f>
        <v>-23765.231187397039</v>
      </c>
      <c r="K41" s="307">
        <v>179694.67595633931</v>
      </c>
      <c r="L41" s="307">
        <v>577352.74253850675</v>
      </c>
      <c r="M41" s="307">
        <v>914058.331747249</v>
      </c>
      <c r="N41" s="307">
        <v>1241123.8292223862</v>
      </c>
      <c r="O41" s="307">
        <v>1558403.5173448671</v>
      </c>
      <c r="P41" s="307">
        <v>1895441.0995597078</v>
      </c>
      <c r="Q41" s="307">
        <v>2246521.1727517266</v>
      </c>
      <c r="R41" s="307">
        <v>2578322.1414758675</v>
      </c>
      <c r="S41" s="308">
        <f>'Costs &amp; Benefits'!I136</f>
        <v>2678548.6385487886</v>
      </c>
      <c r="T41" s="142"/>
      <c r="U41" s="210"/>
      <c r="V41" s="34"/>
      <c r="W41" s="34"/>
      <c r="X41" s="34"/>
    </row>
    <row r="42" spans="1:25" s="33" customFormat="1" ht="7.2" customHeight="1" x14ac:dyDescent="0.25">
      <c r="A42" s="54"/>
      <c r="B42" s="108"/>
      <c r="C42" s="34"/>
      <c r="D42" s="34"/>
      <c r="E42" s="34"/>
      <c r="T42" s="103"/>
      <c r="U42" s="210"/>
      <c r="V42" s="34"/>
      <c r="W42" s="34"/>
      <c r="X42" s="34"/>
    </row>
    <row r="43" spans="1:25" s="33" customFormat="1" ht="12" customHeight="1" x14ac:dyDescent="0.25">
      <c r="A43" s="54"/>
      <c r="B43" s="108"/>
      <c r="C43" s="34"/>
      <c r="D43" s="34"/>
      <c r="E43" s="19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34"/>
      <c r="U43" s="210"/>
      <c r="V43" s="34"/>
      <c r="W43" s="34"/>
      <c r="X43" s="34"/>
    </row>
    <row r="44" spans="1:25" s="33" customFormat="1" x14ac:dyDescent="0.25">
      <c r="A44" s="181"/>
      <c r="B44" s="202"/>
      <c r="C44" s="174"/>
      <c r="D44" s="174"/>
      <c r="E44" s="174"/>
      <c r="F44" s="339" t="s">
        <v>96</v>
      </c>
      <c r="G44" s="339"/>
      <c r="H44" s="339"/>
      <c r="I44" s="88" t="s">
        <v>97</v>
      </c>
      <c r="J44" s="217">
        <f>+VLOOKUP(J7,'Selection lists'!$A$2:$C$50,2,FALSE)</f>
        <v>0.26938686929014782</v>
      </c>
      <c r="K44" s="88" t="s">
        <v>98</v>
      </c>
      <c r="L44" s="217">
        <f>+VLOOKUP(J7,'Selection lists'!$A$2:$C$50,3,FALSE)</f>
        <v>5.8104424896679725E-2</v>
      </c>
      <c r="M44" s="174"/>
      <c r="N44" s="174"/>
      <c r="O44" s="174"/>
      <c r="P44" s="174"/>
      <c r="Q44" s="174"/>
      <c r="R44" s="174"/>
      <c r="S44" s="174"/>
      <c r="T44" s="174"/>
      <c r="U44" s="54"/>
      <c r="V44" s="34"/>
      <c r="W44" s="34"/>
      <c r="X44" s="34"/>
      <c r="Y44" s="34"/>
    </row>
    <row r="45" spans="1:25" s="33" customFormat="1" x14ac:dyDescent="0.25">
      <c r="A45" s="181"/>
      <c r="B45" s="208"/>
      <c r="C45" s="205"/>
      <c r="D45" s="205"/>
      <c r="E45" s="205"/>
      <c r="F45" s="206"/>
      <c r="G45" s="206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7"/>
      <c r="U45" s="54"/>
      <c r="V45" s="34"/>
      <c r="W45" s="34"/>
      <c r="X45" s="34"/>
      <c r="Y45" s="34"/>
    </row>
    <row r="46" spans="1:25" ht="10.199999999999999" customHeight="1" x14ac:dyDescent="0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215"/>
      <c r="S46" s="181"/>
      <c r="T46" s="181"/>
      <c r="U46" s="181"/>
      <c r="V46" s="175"/>
      <c r="W46" s="175"/>
      <c r="X46" s="175"/>
    </row>
    <row r="47" spans="1:25" ht="10.199999999999999" customHeight="1" x14ac:dyDescent="0.25">
      <c r="A47" s="181"/>
      <c r="B47" s="211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12"/>
      <c r="S47" s="200"/>
      <c r="T47" s="201"/>
      <c r="U47" s="181"/>
      <c r="V47" s="175"/>
      <c r="W47" s="175"/>
      <c r="X47" s="175"/>
    </row>
    <row r="48" spans="1:25" ht="12" customHeight="1" x14ac:dyDescent="0.25">
      <c r="A48" s="181"/>
      <c r="B48" s="213"/>
      <c r="C48" s="65" t="s">
        <v>99</v>
      </c>
      <c r="D48" s="195"/>
      <c r="E48" s="223"/>
      <c r="F48" s="223"/>
      <c r="G48" s="223"/>
      <c r="H48" s="223"/>
      <c r="I48" s="224"/>
      <c r="J48" s="175"/>
      <c r="R48" s="179"/>
      <c r="T48" s="203"/>
      <c r="U48" s="181"/>
    </row>
    <row r="49" spans="1:21" ht="10.199999999999999" customHeight="1" x14ac:dyDescent="0.25">
      <c r="A49" s="181"/>
      <c r="B49" s="213"/>
      <c r="E49" s="195"/>
      <c r="F49" s="336" t="s">
        <v>100</v>
      </c>
      <c r="G49" s="336"/>
      <c r="H49" s="336"/>
      <c r="I49" s="292">
        <f>S19</f>
        <v>1255000</v>
      </c>
      <c r="T49" s="203"/>
      <c r="U49" s="181"/>
    </row>
    <row r="50" spans="1:21" ht="10.199999999999999" customHeight="1" x14ac:dyDescent="0.25">
      <c r="A50" s="181"/>
      <c r="B50" s="213"/>
      <c r="E50" s="195"/>
      <c r="F50" s="336" t="s">
        <v>101</v>
      </c>
      <c r="G50" s="336"/>
      <c r="H50" s="336"/>
      <c r="I50" s="292">
        <f>S22</f>
        <v>6460000</v>
      </c>
      <c r="T50" s="203"/>
      <c r="U50" s="181"/>
    </row>
    <row r="51" spans="1:21" ht="10.199999999999999" customHeight="1" x14ac:dyDescent="0.25">
      <c r="A51" s="181"/>
      <c r="B51" s="213"/>
      <c r="E51" s="195"/>
      <c r="F51" s="336" t="s">
        <v>102</v>
      </c>
      <c r="G51" s="336"/>
      <c r="H51" s="336"/>
      <c r="I51" s="292">
        <f>S24</f>
        <v>5205000</v>
      </c>
      <c r="T51" s="203"/>
      <c r="U51" s="181"/>
    </row>
    <row r="52" spans="1:21" ht="10.199999999999999" customHeight="1" x14ac:dyDescent="0.25">
      <c r="A52" s="181"/>
      <c r="B52" s="213"/>
      <c r="E52" s="195"/>
      <c r="F52" s="336" t="s">
        <v>103</v>
      </c>
      <c r="G52" s="336"/>
      <c r="H52" s="336"/>
      <c r="I52" s="292">
        <f>S39</f>
        <v>2678548.6385487886</v>
      </c>
      <c r="T52" s="203"/>
      <c r="U52" s="181"/>
    </row>
    <row r="53" spans="1:21" ht="10.199999999999999" customHeight="1" x14ac:dyDescent="0.25">
      <c r="A53" s="181"/>
      <c r="B53" s="213"/>
      <c r="E53" s="195"/>
      <c r="F53" s="336" t="s">
        <v>61</v>
      </c>
      <c r="G53" s="336"/>
      <c r="H53" s="337"/>
      <c r="I53" s="322">
        <f>IFERROR(S41/'Costs &amp; Benefits'!I147,"")</f>
        <v>5.5803096636433098</v>
      </c>
      <c r="T53" s="203"/>
      <c r="U53" s="181"/>
    </row>
    <row r="54" spans="1:21" ht="10.199999999999999" customHeight="1" x14ac:dyDescent="0.25">
      <c r="A54" s="181"/>
      <c r="B54" s="213"/>
      <c r="E54" s="195"/>
      <c r="F54" s="336" t="s">
        <v>104</v>
      </c>
      <c r="G54" s="336"/>
      <c r="H54" s="337"/>
      <c r="I54" s="261" t="str">
        <f>IF('Costs &amp; Benefits'!I142="n/a","n/a",'Costs &amp; Benefits'!I145&amp;"Y "&amp;'Costs &amp; Benefits'!I146&amp;"M")</f>
        <v>1Y 9M</v>
      </c>
      <c r="T54" s="203"/>
      <c r="U54" s="181"/>
    </row>
    <row r="55" spans="1:21" x14ac:dyDescent="0.25">
      <c r="A55" s="181"/>
      <c r="B55" s="21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7"/>
      <c r="U55" s="181"/>
    </row>
    <row r="56" spans="1:21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x14ac:dyDescent="0.25">
      <c r="A57" s="181"/>
      <c r="U57" s="181"/>
    </row>
    <row r="58" spans="1:21" ht="12" customHeight="1" x14ac:dyDescent="0.25">
      <c r="A58" s="181"/>
      <c r="C58" s="65" t="s">
        <v>105</v>
      </c>
      <c r="D58" s="195"/>
      <c r="E58" s="195"/>
      <c r="F58" s="195"/>
      <c r="G58" s="195"/>
      <c r="H58" s="195"/>
      <c r="I58" s="195"/>
      <c r="J58" s="195"/>
      <c r="U58" s="181"/>
    </row>
    <row r="59" spans="1:21" x14ac:dyDescent="0.25">
      <c r="A59" s="181"/>
      <c r="U59" s="181"/>
    </row>
    <row r="60" spans="1:21" x14ac:dyDescent="0.25">
      <c r="A60" s="181"/>
      <c r="U60" s="181"/>
    </row>
    <row r="61" spans="1:21" x14ac:dyDescent="0.25">
      <c r="A61" s="181"/>
      <c r="U61" s="181"/>
    </row>
    <row r="62" spans="1:21" x14ac:dyDescent="0.25">
      <c r="A62" s="181"/>
      <c r="U62" s="181"/>
    </row>
    <row r="63" spans="1:21" x14ac:dyDescent="0.25">
      <c r="A63" s="181"/>
      <c r="U63" s="181"/>
    </row>
    <row r="64" spans="1:21" x14ac:dyDescent="0.25">
      <c r="A64" s="181"/>
      <c r="U64" s="181"/>
    </row>
    <row r="65" spans="1:21" x14ac:dyDescent="0.25">
      <c r="A65" s="181"/>
      <c r="U65" s="181"/>
    </row>
    <row r="66" spans="1:21" x14ac:dyDescent="0.25">
      <c r="A66" s="181"/>
      <c r="U66" s="181"/>
    </row>
    <row r="67" spans="1:21" x14ac:dyDescent="0.25">
      <c r="A67" s="181"/>
      <c r="U67" s="181"/>
    </row>
    <row r="68" spans="1:21" x14ac:dyDescent="0.25">
      <c r="A68" s="181"/>
      <c r="U68" s="181"/>
    </row>
    <row r="69" spans="1:21" x14ac:dyDescent="0.25">
      <c r="A69" s="181"/>
      <c r="U69" s="181"/>
    </row>
    <row r="70" spans="1:21" x14ac:dyDescent="0.25">
      <c r="A70" s="181"/>
      <c r="U70" s="181"/>
    </row>
    <row r="71" spans="1:21" x14ac:dyDescent="0.25">
      <c r="A71" s="181"/>
      <c r="U71" s="181"/>
    </row>
    <row r="72" spans="1:21" x14ac:dyDescent="0.25">
      <c r="A72" s="181"/>
      <c r="U72" s="181"/>
    </row>
    <row r="73" spans="1:21" x14ac:dyDescent="0.25">
      <c r="A73" s="181"/>
      <c r="U73" s="181"/>
    </row>
    <row r="74" spans="1:21" x14ac:dyDescent="0.25">
      <c r="A74" s="181"/>
      <c r="U74" s="181"/>
    </row>
    <row r="75" spans="1:21" x14ac:dyDescent="0.25">
      <c r="A75" s="181"/>
      <c r="U75" s="181"/>
    </row>
    <row r="76" spans="1:21" x14ac:dyDescent="0.25">
      <c r="A76" s="181"/>
      <c r="U76" s="181"/>
    </row>
    <row r="77" spans="1:21" x14ac:dyDescent="0.25">
      <c r="A77" s="181"/>
      <c r="U77" s="181"/>
    </row>
    <row r="78" spans="1:21" x14ac:dyDescent="0.25">
      <c r="A78" s="181"/>
      <c r="U78" s="181"/>
    </row>
    <row r="79" spans="1:21" x14ac:dyDescent="0.25">
      <c r="A79" s="181"/>
      <c r="U79" s="181"/>
    </row>
    <row r="80" spans="1:21" x14ac:dyDescent="0.25">
      <c r="A80" s="181"/>
      <c r="U80" s="181"/>
    </row>
    <row r="81" spans="1:21" x14ac:dyDescent="0.25">
      <c r="A81" s="181"/>
      <c r="U81" s="181"/>
    </row>
    <row r="82" spans="1:21" x14ac:dyDescent="0.25">
      <c r="A82" s="181"/>
      <c r="U82" s="181"/>
    </row>
    <row r="83" spans="1:21" x14ac:dyDescent="0.25">
      <c r="A83" s="181"/>
      <c r="U83" s="181"/>
    </row>
    <row r="84" spans="1:21" x14ac:dyDescent="0.25">
      <c r="A84" s="181"/>
      <c r="U84" s="181"/>
    </row>
    <row r="85" spans="1:21" x14ac:dyDescent="0.25">
      <c r="A85" s="181"/>
      <c r="U85" s="181"/>
    </row>
    <row r="86" spans="1:21" x14ac:dyDescent="0.25">
      <c r="A86" s="181"/>
      <c r="U86" s="181"/>
    </row>
    <row r="87" spans="1:21" x14ac:dyDescent="0.25">
      <c r="A87" s="181"/>
      <c r="U87" s="181"/>
    </row>
    <row r="88" spans="1:21" x14ac:dyDescent="0.25">
      <c r="A88" s="181"/>
      <c r="U88" s="181"/>
    </row>
    <row r="89" spans="1:21" x14ac:dyDescent="0.25">
      <c r="A89" s="181"/>
      <c r="U89" s="181"/>
    </row>
    <row r="90" spans="1:21" x14ac:dyDescent="0.25">
      <c r="A90" s="181"/>
      <c r="E90" s="176"/>
      <c r="U90" s="181"/>
    </row>
    <row r="91" spans="1:21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</row>
    <row r="92" spans="1:21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</row>
    <row r="93" spans="1:21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</row>
    <row r="94" spans="1:21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</row>
  </sheetData>
  <mergeCells count="25">
    <mergeCell ref="F53:H53"/>
    <mergeCell ref="F54:H54"/>
    <mergeCell ref="J2:N3"/>
    <mergeCell ref="F49:H49"/>
    <mergeCell ref="F50:H50"/>
    <mergeCell ref="F51:H51"/>
    <mergeCell ref="F52:H52"/>
    <mergeCell ref="F44:H44"/>
    <mergeCell ref="J10:L10"/>
    <mergeCell ref="J11:L11"/>
    <mergeCell ref="F32:H32"/>
    <mergeCell ref="F34:H34"/>
    <mergeCell ref="F37:H37"/>
    <mergeCell ref="J7:L7"/>
    <mergeCell ref="J8:L8"/>
    <mergeCell ref="F22:H22"/>
    <mergeCell ref="F19:H19"/>
    <mergeCell ref="F1:F4"/>
    <mergeCell ref="T2:T3"/>
    <mergeCell ref="O10:Q10"/>
    <mergeCell ref="O11:Q11"/>
    <mergeCell ref="J9:L9"/>
    <mergeCell ref="O7:Q7"/>
    <mergeCell ref="O8:Q8"/>
    <mergeCell ref="O9:Q9"/>
  </mergeCells>
  <conditionalFormatting sqref="I51:I54">
    <cfRule type="cellIs" dxfId="18" priority="4" operator="lessThan">
      <formula>0</formula>
    </cfRule>
  </conditionalFormatting>
  <conditionalFormatting sqref="I54">
    <cfRule type="cellIs" dxfId="17" priority="1" operator="greaterThan">
      <formula>"5Y 0M"</formula>
    </cfRule>
  </conditionalFormatting>
  <conditionalFormatting sqref="S24 S39 S41">
    <cfRule type="cellIs" dxfId="16" priority="5" operator="lessThan">
      <formula>0</formula>
    </cfRule>
  </conditionalFormatting>
  <dataValidations count="1">
    <dataValidation type="list" allowBlank="1" showInputMessage="1" showErrorMessage="1" sqref="O11" xr:uid="{00000000-0002-0000-0200-000000000000}">
      <formula1>"2017,2018,2019,2020,2021,2022,2023,2024,2025"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151"/>
  <sheetViews>
    <sheetView workbookViewId="0"/>
  </sheetViews>
  <sheetFormatPr baseColWidth="10" defaultColWidth="11.44140625" defaultRowHeight="13.2" x14ac:dyDescent="0.25"/>
  <cols>
    <col min="1" max="1" width="5.44140625" style="33" customWidth="1"/>
    <col min="2" max="3" width="2.6640625" style="33" customWidth="1"/>
    <col min="4" max="4" width="3" style="33" customWidth="1"/>
    <col min="5" max="5" width="7.33203125" style="33" customWidth="1"/>
    <col min="6" max="6" width="1.88671875" style="33" customWidth="1"/>
    <col min="7" max="7" width="20.5546875" style="33" customWidth="1"/>
    <col min="8" max="8" width="10.5546875" style="33" customWidth="1"/>
    <col min="9" max="9" width="57.109375" style="33" customWidth="1"/>
    <col min="10" max="19" width="13.6640625" style="33" customWidth="1"/>
    <col min="20" max="20" width="7.33203125" style="34" customWidth="1"/>
    <col min="21" max="21" width="6.33203125" style="33" customWidth="1"/>
    <col min="22" max="22" width="11.44140625" style="33"/>
    <col min="23" max="23" width="11.44140625" style="34"/>
    <col min="24" max="16384" width="11.44140625" style="33"/>
  </cols>
  <sheetData>
    <row r="1" spans="1:23" ht="14.4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4"/>
      <c r="W1" s="33"/>
    </row>
    <row r="2" spans="1:23" ht="13.2" customHeight="1" x14ac:dyDescent="0.25">
      <c r="A2" s="52"/>
      <c r="B2" s="52"/>
      <c r="C2" s="52"/>
      <c r="D2" s="52"/>
      <c r="E2" s="346"/>
      <c r="F2" s="346"/>
      <c r="G2" s="346"/>
      <c r="H2" s="53" t="s">
        <v>201</v>
      </c>
      <c r="I2" s="52"/>
      <c r="J2" s="338" t="str">
        <f>L10</f>
        <v>PRODUCT 3 | Campaign Automation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  <c r="V2" s="34"/>
      <c r="W2" s="33"/>
    </row>
    <row r="3" spans="1:23" ht="13.8" customHeight="1" x14ac:dyDescent="0.25">
      <c r="A3" s="52"/>
      <c r="B3" s="52"/>
      <c r="C3" s="52"/>
      <c r="D3" s="52"/>
      <c r="E3" s="346"/>
      <c r="F3" s="346"/>
      <c r="G3" s="346"/>
      <c r="H3" s="229" t="s">
        <v>106</v>
      </c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  <c r="V3" s="34"/>
      <c r="W3" s="33"/>
    </row>
    <row r="4" spans="1:23" ht="12.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34"/>
      <c r="W4" s="33"/>
    </row>
    <row r="5" spans="1:23" ht="13.8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4"/>
      <c r="W5" s="33"/>
    </row>
    <row r="6" spans="1:23" ht="10.199999999999999" customHeight="1" x14ac:dyDescent="0.25">
      <c r="A6" s="54"/>
      <c r="B6" s="54"/>
      <c r="C6" s="54"/>
      <c r="D6" s="54"/>
      <c r="E6" s="54"/>
      <c r="F6" s="54"/>
      <c r="G6" s="54"/>
      <c r="H6" s="54"/>
      <c r="I6" s="127"/>
      <c r="J6" s="107"/>
      <c r="K6" s="98"/>
      <c r="L6" s="98"/>
      <c r="M6" s="98"/>
      <c r="N6" s="98"/>
      <c r="O6" s="98"/>
      <c r="P6" s="98"/>
      <c r="Q6" s="98"/>
      <c r="R6" s="98"/>
      <c r="S6" s="98"/>
      <c r="T6" s="100"/>
      <c r="U6" s="54"/>
      <c r="V6" s="34"/>
      <c r="W6" s="33"/>
    </row>
    <row r="7" spans="1:23" ht="12" customHeight="1" x14ac:dyDescent="0.25">
      <c r="A7" s="54"/>
      <c r="B7" s="54"/>
      <c r="C7" s="54"/>
      <c r="D7" s="54"/>
      <c r="E7" s="54"/>
      <c r="F7" s="54"/>
      <c r="G7" s="54"/>
      <c r="H7" s="54"/>
      <c r="I7" s="127"/>
      <c r="J7" s="102"/>
      <c r="K7" s="56" t="s">
        <v>199</v>
      </c>
      <c r="L7" s="347" t="str">
        <f>+Summary!J7</f>
        <v>Synthetic Test Scope</v>
      </c>
      <c r="M7" s="347"/>
      <c r="N7" s="347"/>
      <c r="P7" s="57" t="s">
        <v>67</v>
      </c>
      <c r="Q7" s="349" t="str">
        <f>Summary!O7</f>
        <v>Test Project Manager C</v>
      </c>
      <c r="R7" s="349"/>
      <c r="S7" s="349"/>
      <c r="T7" s="134"/>
      <c r="U7" s="54"/>
      <c r="V7" s="34"/>
      <c r="W7" s="33"/>
    </row>
    <row r="8" spans="1:23" ht="12" customHeight="1" x14ac:dyDescent="0.25">
      <c r="A8" s="54"/>
      <c r="B8" s="54"/>
      <c r="C8" s="54"/>
      <c r="D8" s="54"/>
      <c r="E8" s="54"/>
      <c r="F8" s="54"/>
      <c r="G8" s="54"/>
      <c r="H8" s="54"/>
      <c r="I8" s="127"/>
      <c r="J8" s="102"/>
      <c r="K8" s="56" t="s">
        <v>203</v>
      </c>
      <c r="L8" s="349">
        <f>+Summary!J8</f>
        <v>1003</v>
      </c>
      <c r="M8" s="349"/>
      <c r="N8" s="349"/>
      <c r="P8" s="58" t="s">
        <v>68</v>
      </c>
      <c r="Q8" s="349" t="str">
        <f>Summary!O8</f>
        <v>Test Sponsor C</v>
      </c>
      <c r="R8" s="349"/>
      <c r="S8" s="349"/>
      <c r="T8" s="134"/>
      <c r="U8" s="54"/>
      <c r="V8" s="34"/>
      <c r="W8" s="33"/>
    </row>
    <row r="9" spans="1:23" ht="12" customHeight="1" x14ac:dyDescent="0.25">
      <c r="A9" s="54"/>
      <c r="B9" s="54"/>
      <c r="C9" s="54"/>
      <c r="D9" s="54"/>
      <c r="E9" s="54"/>
      <c r="F9" s="54"/>
      <c r="G9" s="54"/>
      <c r="H9" s="54"/>
      <c r="I9" s="127"/>
      <c r="J9" s="102"/>
      <c r="K9" s="56" t="s">
        <v>107</v>
      </c>
      <c r="L9" s="349" t="str">
        <f>+Summary!J9</f>
        <v>TEST-BC-003</v>
      </c>
      <c r="M9" s="349"/>
      <c r="N9" s="349"/>
      <c r="P9" s="56" t="s">
        <v>70</v>
      </c>
      <c r="Q9" s="350">
        <f>IF(Summary!O9,Summary!O9,"")</f>
        <v>46037</v>
      </c>
      <c r="R9" s="350"/>
      <c r="S9" s="350"/>
      <c r="T9" s="134"/>
      <c r="U9" s="54"/>
      <c r="W9" s="33"/>
    </row>
    <row r="10" spans="1:23" ht="12" customHeight="1" x14ac:dyDescent="0.25">
      <c r="A10" s="54"/>
      <c r="B10" s="54"/>
      <c r="C10" s="54"/>
      <c r="D10" s="54"/>
      <c r="E10" s="54"/>
      <c r="F10" s="54"/>
      <c r="G10" s="54"/>
      <c r="H10" s="54"/>
      <c r="I10" s="127"/>
      <c r="J10" s="102"/>
      <c r="K10" s="172" t="s">
        <v>108</v>
      </c>
      <c r="L10" s="347" t="str">
        <f>+Summary!J10</f>
        <v>PRODUCT 3 | Campaign Automation [TEST]</v>
      </c>
      <c r="M10" s="347"/>
      <c r="N10" s="347"/>
      <c r="P10" s="56" t="s">
        <v>72</v>
      </c>
      <c r="Q10" s="347">
        <f>Summary!O10</f>
        <v>2026</v>
      </c>
      <c r="R10" s="347"/>
      <c r="S10" s="347"/>
      <c r="T10" s="134"/>
      <c r="U10" s="54"/>
      <c r="W10" s="33"/>
    </row>
    <row r="11" spans="1:23" ht="12" customHeight="1" x14ac:dyDescent="0.25">
      <c r="A11" s="54"/>
      <c r="B11" s="54"/>
      <c r="C11" s="54"/>
      <c r="D11" s="54"/>
      <c r="E11" s="54"/>
      <c r="F11" s="54"/>
      <c r="G11" s="54"/>
      <c r="H11" s="54"/>
      <c r="I11" s="127"/>
      <c r="J11" s="102"/>
      <c r="K11" s="172" t="s">
        <v>109</v>
      </c>
      <c r="L11" s="349" t="str">
        <f>+Summary!J11</f>
        <v>Synthetic Marketing Program C</v>
      </c>
      <c r="M11" s="349"/>
      <c r="N11" s="349"/>
      <c r="P11" s="56" t="s">
        <v>74</v>
      </c>
      <c r="Q11" s="347">
        <f>IF(Summary!O11,Summary!O11,"")</f>
        <v>2027</v>
      </c>
      <c r="R11" s="347"/>
      <c r="S11" s="347"/>
      <c r="T11" s="134"/>
      <c r="U11" s="54"/>
      <c r="W11" s="33"/>
    </row>
    <row r="12" spans="1:23" ht="7.8" customHeight="1" x14ac:dyDescent="0.25">
      <c r="A12" s="54"/>
      <c r="B12" s="54"/>
      <c r="C12" s="54"/>
      <c r="D12" s="54"/>
      <c r="E12" s="54"/>
      <c r="F12" s="54"/>
      <c r="G12" s="54"/>
      <c r="H12" s="54"/>
      <c r="I12" s="127"/>
      <c r="J12" s="115"/>
      <c r="K12" s="129"/>
      <c r="L12" s="130"/>
      <c r="M12" s="129"/>
      <c r="N12" s="131"/>
      <c r="O12" s="132"/>
      <c r="P12" s="131"/>
      <c r="Q12" s="133"/>
      <c r="R12" s="131"/>
      <c r="S12" s="131"/>
      <c r="T12" s="170"/>
      <c r="U12" s="54"/>
      <c r="W12" s="33"/>
    </row>
    <row r="13" spans="1:23" ht="12" customHeight="1" x14ac:dyDescent="0.25">
      <c r="A13" s="54"/>
      <c r="B13" s="12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33"/>
    </row>
    <row r="14" spans="1:23" ht="17.399999999999999" customHeight="1" x14ac:dyDescent="0.35">
      <c r="A14" s="127"/>
      <c r="B14" s="34"/>
      <c r="C14" s="125" t="s">
        <v>110</v>
      </c>
      <c r="D14" s="120"/>
      <c r="E14" s="121"/>
      <c r="F14" s="121"/>
      <c r="G14" s="122"/>
      <c r="H14" s="123"/>
      <c r="I14" s="99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00"/>
      <c r="U14" s="54"/>
      <c r="W14" s="33"/>
    </row>
    <row r="15" spans="1:23" ht="12" customHeight="1" x14ac:dyDescent="0.25">
      <c r="A15" s="127"/>
      <c r="B15" s="124"/>
      <c r="C15" s="34"/>
      <c r="D15" s="37"/>
      <c r="E15" s="37"/>
      <c r="F15" s="37"/>
      <c r="I15" s="36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109"/>
      <c r="U15" s="54"/>
      <c r="W15" s="33"/>
    </row>
    <row r="16" spans="1:23" ht="12" customHeight="1" x14ac:dyDescent="0.25">
      <c r="A16" s="127"/>
      <c r="B16" s="124"/>
      <c r="C16" s="34"/>
      <c r="G16" s="86" t="s">
        <v>2</v>
      </c>
      <c r="H16" s="87" t="s">
        <v>111</v>
      </c>
      <c r="I16" s="88" t="s">
        <v>42</v>
      </c>
      <c r="J16" s="88">
        <f t="shared" ref="J16:S16" si="0">+J31</f>
        <v>2026</v>
      </c>
      <c r="K16" s="88">
        <f t="shared" si="0"/>
        <v>2027</v>
      </c>
      <c r="L16" s="88">
        <f t="shared" si="0"/>
        <v>2028</v>
      </c>
      <c r="M16" s="88">
        <f t="shared" si="0"/>
        <v>2029</v>
      </c>
      <c r="N16" s="88">
        <f t="shared" si="0"/>
        <v>2030</v>
      </c>
      <c r="O16" s="88">
        <f t="shared" si="0"/>
        <v>2031</v>
      </c>
      <c r="P16" s="88">
        <f t="shared" si="0"/>
        <v>2032</v>
      </c>
      <c r="Q16" s="88">
        <f t="shared" si="0"/>
        <v>2033</v>
      </c>
      <c r="R16" s="88">
        <f t="shared" si="0"/>
        <v>2034</v>
      </c>
      <c r="S16" s="88">
        <f t="shared" si="0"/>
        <v>2035</v>
      </c>
      <c r="T16" s="109"/>
      <c r="U16" s="54"/>
      <c r="W16" s="33"/>
    </row>
    <row r="17" spans="1:23" s="67" customFormat="1" ht="18.600000000000001" customHeight="1" x14ac:dyDescent="0.25">
      <c r="A17" s="127"/>
      <c r="B17" s="124"/>
      <c r="C17" s="34"/>
      <c r="D17" s="65" t="s">
        <v>112</v>
      </c>
      <c r="E17" s="65" t="s">
        <v>113</v>
      </c>
      <c r="F17" s="64"/>
      <c r="G17" s="65"/>
      <c r="H17" s="65"/>
      <c r="I17" s="64"/>
      <c r="J17" s="66"/>
      <c r="K17" s="66"/>
      <c r="L17" s="66"/>
      <c r="M17" s="66"/>
      <c r="N17" s="66"/>
      <c r="O17" s="66"/>
      <c r="P17" s="66"/>
      <c r="Q17" s="66"/>
      <c r="R17" s="66"/>
      <c r="S17" s="93"/>
      <c r="T17" s="110"/>
      <c r="U17" s="54"/>
    </row>
    <row r="18" spans="1:23" s="40" customFormat="1" ht="14.4" customHeight="1" x14ac:dyDescent="0.25">
      <c r="A18" s="127"/>
      <c r="B18" s="124"/>
      <c r="C18" s="34"/>
      <c r="E18" s="69"/>
      <c r="F18" s="70"/>
      <c r="G18" s="345" t="s">
        <v>114</v>
      </c>
      <c r="H18" s="345"/>
      <c r="I18" s="345"/>
      <c r="J18" s="71"/>
      <c r="K18" s="71"/>
      <c r="L18" s="71"/>
      <c r="M18" s="71"/>
      <c r="N18" s="68"/>
      <c r="O18" s="68"/>
      <c r="P18" s="68"/>
      <c r="Q18" s="68"/>
      <c r="R18" s="68"/>
      <c r="S18" s="94"/>
      <c r="T18" s="111"/>
      <c r="U18" s="54"/>
    </row>
    <row r="19" spans="1:23" ht="12" customHeight="1" x14ac:dyDescent="0.25">
      <c r="A19" s="127"/>
      <c r="B19" s="124"/>
      <c r="C19" s="34"/>
      <c r="D19" s="37"/>
      <c r="E19" s="41"/>
      <c r="F19" s="63"/>
      <c r="G19" s="84" t="s">
        <v>115</v>
      </c>
      <c r="H19" s="85" t="s">
        <v>116</v>
      </c>
      <c r="I19" s="83" t="s">
        <v>208</v>
      </c>
      <c r="J19" s="282">
        <v>150000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112"/>
      <c r="U19" s="54"/>
      <c r="W19" s="33"/>
    </row>
    <row r="20" spans="1:23" ht="12" customHeight="1" x14ac:dyDescent="0.25">
      <c r="A20" s="127"/>
      <c r="B20" s="124"/>
      <c r="C20" s="34"/>
      <c r="F20" s="63"/>
      <c r="G20" s="84" t="s">
        <v>117</v>
      </c>
      <c r="H20" s="85" t="s">
        <v>116</v>
      </c>
      <c r="I20" s="83" t="s">
        <v>209</v>
      </c>
      <c r="J20" s="282">
        <v>250000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112"/>
      <c r="U20" s="54"/>
      <c r="W20" s="33"/>
    </row>
    <row r="21" spans="1:23" s="40" customFormat="1" ht="15" customHeight="1" x14ac:dyDescent="0.25">
      <c r="A21" s="127"/>
      <c r="B21" s="124"/>
      <c r="C21" s="34"/>
      <c r="E21" s="69"/>
      <c r="F21" s="70"/>
      <c r="G21" s="345" t="s">
        <v>118</v>
      </c>
      <c r="H21" s="345"/>
      <c r="I21" s="345"/>
      <c r="J21" s="72"/>
      <c r="K21" s="72"/>
      <c r="L21" s="72"/>
      <c r="M21" s="72"/>
      <c r="N21" s="72"/>
      <c r="O21" s="72"/>
      <c r="P21" s="72"/>
      <c r="Q21" s="72"/>
      <c r="R21" s="72"/>
      <c r="S21" s="95"/>
      <c r="T21" s="111"/>
      <c r="U21" s="54"/>
    </row>
    <row r="22" spans="1:23" ht="12" customHeight="1" x14ac:dyDescent="0.25">
      <c r="A22" s="127"/>
      <c r="B22" s="124"/>
      <c r="C22" s="34"/>
      <c r="D22" s="37"/>
      <c r="E22" s="41"/>
      <c r="F22" s="63"/>
      <c r="G22" s="84" t="s">
        <v>115</v>
      </c>
      <c r="H22" s="85" t="s">
        <v>116</v>
      </c>
      <c r="I22" s="83" t="s">
        <v>210</v>
      </c>
      <c r="J22" s="282">
        <v>50000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112"/>
      <c r="U22" s="54"/>
      <c r="W22" s="33"/>
    </row>
    <row r="23" spans="1:23" s="40" customFormat="1" ht="13.8" customHeight="1" x14ac:dyDescent="0.25">
      <c r="A23" s="127"/>
      <c r="B23" s="124"/>
      <c r="C23" s="34"/>
      <c r="E23" s="69"/>
      <c r="F23" s="70"/>
      <c r="G23" s="345" t="s">
        <v>119</v>
      </c>
      <c r="H23" s="345"/>
      <c r="I23" s="345"/>
      <c r="J23" s="72"/>
      <c r="K23" s="72"/>
      <c r="L23" s="72"/>
      <c r="M23" s="72"/>
      <c r="N23" s="72"/>
      <c r="O23" s="72"/>
      <c r="P23" s="72"/>
      <c r="Q23" s="72"/>
      <c r="R23" s="72"/>
      <c r="S23" s="95"/>
      <c r="T23" s="111"/>
      <c r="U23" s="54"/>
    </row>
    <row r="24" spans="1:23" ht="12" customHeight="1" x14ac:dyDescent="0.25">
      <c r="A24" s="127"/>
      <c r="B24" s="124"/>
      <c r="C24" s="34"/>
      <c r="F24" s="63"/>
      <c r="G24" s="84" t="s">
        <v>117</v>
      </c>
      <c r="H24" s="85" t="s">
        <v>116</v>
      </c>
      <c r="I24" s="83" t="s">
        <v>211</v>
      </c>
      <c r="J24" s="282">
        <v>30000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112"/>
      <c r="U24" s="54"/>
      <c r="W24" s="33"/>
    </row>
    <row r="25" spans="1:23" ht="12" customHeight="1" x14ac:dyDescent="0.25">
      <c r="A25" s="127"/>
      <c r="B25" s="124"/>
      <c r="C25" s="34"/>
      <c r="D25" s="37"/>
      <c r="E25" s="41"/>
      <c r="F25" s="77"/>
      <c r="G25" s="73"/>
      <c r="H25" s="73"/>
      <c r="I25" s="73"/>
      <c r="J25" s="74"/>
      <c r="K25" s="74"/>
      <c r="L25" s="74"/>
      <c r="M25" s="74"/>
      <c r="N25" s="74"/>
      <c r="O25" s="74"/>
      <c r="P25" s="75"/>
      <c r="Q25" s="75"/>
      <c r="R25" s="75"/>
      <c r="S25" s="76"/>
      <c r="T25" s="112"/>
      <c r="U25" s="54"/>
      <c r="W25" s="33"/>
    </row>
    <row r="26" spans="1:23" ht="12" customHeight="1" x14ac:dyDescent="0.25">
      <c r="A26" s="127"/>
      <c r="B26" s="124"/>
      <c r="C26" s="34"/>
      <c r="D26" s="37"/>
      <c r="E26" s="37"/>
      <c r="F26" s="78"/>
      <c r="G26" s="81" t="s">
        <v>120</v>
      </c>
      <c r="H26" s="79"/>
      <c r="I26" s="80"/>
      <c r="J26" s="283">
        <f t="shared" ref="J26:S26" si="1">J19+J20+J22+J24</f>
        <v>480000</v>
      </c>
      <c r="K26" s="283">
        <f t="shared" si="1"/>
        <v>0</v>
      </c>
      <c r="L26" s="283">
        <f t="shared" si="1"/>
        <v>0</v>
      </c>
      <c r="M26" s="283">
        <f t="shared" si="1"/>
        <v>0</v>
      </c>
      <c r="N26" s="283">
        <f t="shared" si="1"/>
        <v>0</v>
      </c>
      <c r="O26" s="283">
        <f t="shared" si="1"/>
        <v>0</v>
      </c>
      <c r="P26" s="283">
        <f t="shared" si="1"/>
        <v>0</v>
      </c>
      <c r="Q26" s="283">
        <f t="shared" si="1"/>
        <v>0</v>
      </c>
      <c r="R26" s="283">
        <f>R19+R20+R22+R24</f>
        <v>0</v>
      </c>
      <c r="S26" s="283">
        <f t="shared" si="1"/>
        <v>0</v>
      </c>
      <c r="T26" s="109"/>
      <c r="U26" s="54"/>
      <c r="W26" s="33"/>
    </row>
    <row r="27" spans="1:23" ht="12" customHeight="1" x14ac:dyDescent="0.25">
      <c r="A27" s="127"/>
      <c r="B27" s="124"/>
      <c r="C27" s="34"/>
      <c r="D27" s="37"/>
      <c r="E27" s="37"/>
      <c r="F27" s="37"/>
      <c r="I27" s="36"/>
      <c r="J27" s="42"/>
      <c r="K27" s="42"/>
      <c r="L27" s="42"/>
      <c r="M27" s="42"/>
      <c r="T27" s="109"/>
      <c r="U27" s="54"/>
      <c r="W27" s="33"/>
    </row>
    <row r="28" spans="1:23" ht="12" customHeight="1" x14ac:dyDescent="0.25">
      <c r="A28" s="127"/>
      <c r="B28" s="124"/>
      <c r="C28" s="34"/>
      <c r="D28" s="37"/>
      <c r="E28" s="37"/>
      <c r="F28" s="37"/>
      <c r="G28" s="345" t="s">
        <v>121</v>
      </c>
      <c r="H28" s="345"/>
      <c r="I28" s="345"/>
      <c r="J28" s="82">
        <v>5</v>
      </c>
      <c r="K28" s="348" t="s">
        <v>122</v>
      </c>
      <c r="L28" s="348"/>
      <c r="M28" s="348"/>
      <c r="N28" s="348"/>
      <c r="O28" s="348"/>
      <c r="P28" s="348"/>
      <c r="Q28" s="348"/>
      <c r="R28" s="348"/>
      <c r="S28" s="348"/>
      <c r="T28" s="109"/>
      <c r="U28" s="54"/>
      <c r="W28" s="33"/>
    </row>
    <row r="29" spans="1:23" ht="12" customHeight="1" x14ac:dyDescent="0.25">
      <c r="A29" s="127"/>
      <c r="B29" s="124"/>
      <c r="C29" s="34"/>
      <c r="D29" s="37"/>
      <c r="E29" s="37"/>
      <c r="F29" s="37"/>
      <c r="G29" s="40"/>
      <c r="H29" s="40"/>
      <c r="I29" s="36"/>
      <c r="J29" s="44"/>
      <c r="K29" s="45"/>
      <c r="L29" s="46"/>
      <c r="M29" s="46"/>
      <c r="N29" s="46"/>
      <c r="O29" s="46"/>
      <c r="P29" s="46"/>
      <c r="Q29" s="46"/>
      <c r="R29" s="46"/>
      <c r="S29" s="46"/>
      <c r="T29" s="109"/>
      <c r="U29" s="54"/>
      <c r="W29" s="33"/>
    </row>
    <row r="30" spans="1:23" ht="12" customHeight="1" x14ac:dyDescent="0.25">
      <c r="A30" s="127"/>
      <c r="B30" s="124"/>
      <c r="C30" s="34"/>
      <c r="D30" s="35"/>
      <c r="E30" s="3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113"/>
      <c r="U30" s="54"/>
      <c r="W30" s="33"/>
    </row>
    <row r="31" spans="1:23" ht="12" customHeight="1" x14ac:dyDescent="0.25">
      <c r="A31" s="127"/>
      <c r="B31" s="124"/>
      <c r="C31" s="34"/>
      <c r="G31" s="86" t="s">
        <v>2</v>
      </c>
      <c r="H31" s="87" t="s">
        <v>111</v>
      </c>
      <c r="I31" s="88" t="s">
        <v>42</v>
      </c>
      <c r="J31" s="88">
        <v>2026</v>
      </c>
      <c r="K31" s="88">
        <f t="shared" ref="K31:S31" si="2">+J31+1</f>
        <v>2027</v>
      </c>
      <c r="L31" s="88">
        <f t="shared" si="2"/>
        <v>2028</v>
      </c>
      <c r="M31" s="88">
        <f t="shared" si="2"/>
        <v>2029</v>
      </c>
      <c r="N31" s="88">
        <f t="shared" si="2"/>
        <v>2030</v>
      </c>
      <c r="O31" s="88">
        <f t="shared" si="2"/>
        <v>2031</v>
      </c>
      <c r="P31" s="88">
        <f t="shared" si="2"/>
        <v>2032</v>
      </c>
      <c r="Q31" s="88">
        <f t="shared" si="2"/>
        <v>2033</v>
      </c>
      <c r="R31" s="88">
        <f t="shared" si="2"/>
        <v>2034</v>
      </c>
      <c r="S31" s="88">
        <f t="shared" si="2"/>
        <v>2035</v>
      </c>
      <c r="T31" s="113"/>
      <c r="U31" s="54"/>
      <c r="W31" s="33"/>
    </row>
    <row r="32" spans="1:23" ht="18.600000000000001" customHeight="1" x14ac:dyDescent="0.3">
      <c r="A32" s="127"/>
      <c r="B32" s="124"/>
      <c r="C32" s="34"/>
      <c r="D32" s="65" t="s">
        <v>123</v>
      </c>
      <c r="E32" s="65" t="s">
        <v>124</v>
      </c>
      <c r="F32" s="61"/>
      <c r="G32" s="60"/>
      <c r="H32" s="60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93"/>
      <c r="T32" s="112"/>
      <c r="U32" s="54"/>
      <c r="W32" s="33"/>
    </row>
    <row r="33" spans="1:30" ht="14.4" customHeight="1" x14ac:dyDescent="0.25">
      <c r="A33" s="127"/>
      <c r="B33" s="124"/>
      <c r="C33" s="34"/>
      <c r="F33" s="63"/>
      <c r="G33" s="345" t="s">
        <v>125</v>
      </c>
      <c r="H33" s="345"/>
      <c r="I33" s="345"/>
      <c r="J33" s="71"/>
      <c r="K33" s="71"/>
      <c r="L33" s="71"/>
      <c r="M33" s="71"/>
      <c r="N33" s="68"/>
      <c r="O33" s="68"/>
      <c r="P33" s="68"/>
      <c r="Q33" s="68"/>
      <c r="R33" s="68"/>
      <c r="S33" s="94"/>
      <c r="T33" s="112"/>
      <c r="U33" s="54"/>
      <c r="W33" s="33"/>
    </row>
    <row r="34" spans="1:30" ht="12" customHeight="1" x14ac:dyDescent="0.25">
      <c r="A34" s="127"/>
      <c r="B34" s="124"/>
      <c r="C34" s="34"/>
      <c r="F34" s="63"/>
      <c r="G34" s="84" t="s">
        <v>115</v>
      </c>
      <c r="H34" s="85" t="s">
        <v>116</v>
      </c>
      <c r="I34" s="83" t="s">
        <v>212</v>
      </c>
      <c r="J34" s="282">
        <v>50000</v>
      </c>
      <c r="K34" s="282">
        <v>0</v>
      </c>
      <c r="L34" s="282">
        <v>0</v>
      </c>
      <c r="M34" s="282">
        <v>0</v>
      </c>
      <c r="N34" s="282">
        <v>0</v>
      </c>
      <c r="O34" s="282">
        <v>0</v>
      </c>
      <c r="P34" s="282">
        <v>0</v>
      </c>
      <c r="Q34" s="282">
        <v>0</v>
      </c>
      <c r="R34" s="282">
        <v>0</v>
      </c>
      <c r="S34" s="282">
        <v>0</v>
      </c>
      <c r="T34" s="112"/>
      <c r="U34" s="54"/>
      <c r="W34" s="33"/>
    </row>
    <row r="35" spans="1:30" ht="12" customHeight="1" x14ac:dyDescent="0.25">
      <c r="A35" s="127"/>
      <c r="B35" s="124"/>
      <c r="C35" s="34"/>
      <c r="F35" s="63"/>
      <c r="G35" s="84" t="s">
        <v>117</v>
      </c>
      <c r="H35" s="85" t="s">
        <v>116</v>
      </c>
      <c r="I35" s="83" t="s">
        <v>213</v>
      </c>
      <c r="J35" s="282">
        <v>50000</v>
      </c>
      <c r="K35" s="282">
        <v>0</v>
      </c>
      <c r="L35" s="282">
        <v>0</v>
      </c>
      <c r="M35" s="282">
        <v>0</v>
      </c>
      <c r="N35" s="282">
        <v>0</v>
      </c>
      <c r="O35" s="282">
        <v>0</v>
      </c>
      <c r="P35" s="282">
        <v>0</v>
      </c>
      <c r="Q35" s="282">
        <v>0</v>
      </c>
      <c r="R35" s="282">
        <v>0</v>
      </c>
      <c r="S35" s="282">
        <v>0</v>
      </c>
      <c r="T35" s="112"/>
      <c r="U35" s="54"/>
      <c r="W35" s="33"/>
    </row>
    <row r="36" spans="1:30" ht="14.4" customHeight="1" x14ac:dyDescent="0.25">
      <c r="A36" s="127"/>
      <c r="B36" s="124"/>
      <c r="C36" s="34"/>
      <c r="E36" s="41"/>
      <c r="F36" s="63"/>
      <c r="G36" s="345" t="s">
        <v>126</v>
      </c>
      <c r="H36" s="345"/>
      <c r="I36" s="345"/>
      <c r="J36" s="72"/>
      <c r="K36" s="72"/>
      <c r="L36" s="72"/>
      <c r="M36" s="72"/>
      <c r="N36" s="72"/>
      <c r="O36" s="72"/>
      <c r="P36" s="72"/>
      <c r="Q36" s="72"/>
      <c r="R36" s="72"/>
      <c r="S36" s="95"/>
      <c r="T36" s="112"/>
      <c r="U36" s="54"/>
      <c r="W36" s="33"/>
    </row>
    <row r="37" spans="1:30" ht="12" customHeight="1" x14ac:dyDescent="0.25">
      <c r="A37" s="127"/>
      <c r="B37" s="124"/>
      <c r="C37" s="34"/>
      <c r="E37" s="41"/>
      <c r="F37" s="63"/>
      <c r="G37" s="84" t="s">
        <v>115</v>
      </c>
      <c r="H37" s="85" t="s">
        <v>127</v>
      </c>
      <c r="I37" s="83" t="s">
        <v>214</v>
      </c>
      <c r="J37" s="282">
        <v>0</v>
      </c>
      <c r="K37" s="282">
        <v>20000</v>
      </c>
      <c r="L37" s="282">
        <v>20000</v>
      </c>
      <c r="M37" s="282">
        <v>20000</v>
      </c>
      <c r="N37" s="282">
        <v>20000</v>
      </c>
      <c r="O37" s="282">
        <v>20000</v>
      </c>
      <c r="P37" s="282">
        <v>20000</v>
      </c>
      <c r="Q37" s="282">
        <v>20000</v>
      </c>
      <c r="R37" s="282">
        <v>20000</v>
      </c>
      <c r="S37" s="282">
        <v>20000</v>
      </c>
      <c r="T37" s="112"/>
      <c r="U37" s="54"/>
      <c r="W37" s="33"/>
    </row>
    <row r="38" spans="1:30" ht="14.4" customHeight="1" x14ac:dyDescent="0.25">
      <c r="A38" s="127"/>
      <c r="B38" s="124"/>
      <c r="C38" s="34"/>
      <c r="E38" s="41"/>
      <c r="F38" s="63"/>
      <c r="G38" s="345" t="s">
        <v>128</v>
      </c>
      <c r="H38" s="345"/>
      <c r="I38" s="345"/>
      <c r="J38" s="72"/>
      <c r="K38" s="72"/>
      <c r="L38" s="72"/>
      <c r="M38" s="72"/>
      <c r="N38" s="72"/>
      <c r="O38" s="72"/>
      <c r="P38" s="72"/>
      <c r="Q38" s="72"/>
      <c r="R38" s="72"/>
      <c r="S38" s="95"/>
      <c r="T38" s="112"/>
      <c r="U38" s="54"/>
      <c r="W38" s="33"/>
    </row>
    <row r="39" spans="1:30" ht="12" customHeight="1" x14ac:dyDescent="0.25">
      <c r="A39" s="127"/>
      <c r="B39" s="124"/>
      <c r="C39" s="34"/>
      <c r="F39" s="63"/>
      <c r="G39" s="84" t="s">
        <v>117</v>
      </c>
      <c r="H39" s="85" t="s">
        <v>127</v>
      </c>
      <c r="I39" s="83" t="s">
        <v>215</v>
      </c>
      <c r="J39" s="282">
        <v>0</v>
      </c>
      <c r="K39" s="282">
        <v>35000</v>
      </c>
      <c r="L39" s="282">
        <v>35000</v>
      </c>
      <c r="M39" s="282">
        <v>35000</v>
      </c>
      <c r="N39" s="282">
        <v>35000</v>
      </c>
      <c r="O39" s="282">
        <v>35000</v>
      </c>
      <c r="P39" s="282">
        <v>35000</v>
      </c>
      <c r="Q39" s="282">
        <v>35000</v>
      </c>
      <c r="R39" s="282">
        <v>35000</v>
      </c>
      <c r="S39" s="282">
        <v>35000</v>
      </c>
      <c r="T39" s="112"/>
      <c r="U39" s="54"/>
      <c r="W39" s="33"/>
    </row>
    <row r="40" spans="1:30" ht="14.4" customHeight="1" x14ac:dyDescent="0.25">
      <c r="A40" s="127"/>
      <c r="B40" s="124"/>
      <c r="C40" s="34"/>
      <c r="E40" s="41"/>
      <c r="F40" s="63"/>
      <c r="G40" s="345" t="s">
        <v>129</v>
      </c>
      <c r="H40" s="345"/>
      <c r="I40" s="345"/>
      <c r="J40" s="72"/>
      <c r="K40" s="72"/>
      <c r="L40" s="72"/>
      <c r="M40" s="72"/>
      <c r="N40" s="72"/>
      <c r="O40" s="72"/>
      <c r="P40" s="72"/>
      <c r="Q40" s="72"/>
      <c r="R40" s="72"/>
      <c r="S40" s="95"/>
      <c r="T40" s="112"/>
      <c r="U40" s="54"/>
      <c r="W40" s="33"/>
    </row>
    <row r="41" spans="1:30" ht="12" customHeight="1" x14ac:dyDescent="0.25">
      <c r="A41" s="127"/>
      <c r="B41" s="124"/>
      <c r="C41" s="34"/>
      <c r="F41" s="63"/>
      <c r="G41" s="84" t="s">
        <v>117</v>
      </c>
      <c r="H41" s="85" t="s">
        <v>127</v>
      </c>
      <c r="I41" s="83" t="s">
        <v>216</v>
      </c>
      <c r="J41" s="282">
        <v>0</v>
      </c>
      <c r="K41" s="282">
        <v>20000</v>
      </c>
      <c r="L41" s="282">
        <v>20000</v>
      </c>
      <c r="M41" s="282">
        <v>20000</v>
      </c>
      <c r="N41" s="282">
        <v>20000</v>
      </c>
      <c r="O41" s="282">
        <v>20000</v>
      </c>
      <c r="P41" s="282">
        <v>20000</v>
      </c>
      <c r="Q41" s="282">
        <v>20000</v>
      </c>
      <c r="R41" s="282">
        <v>20000</v>
      </c>
      <c r="S41" s="282">
        <v>20000</v>
      </c>
      <c r="T41" s="112"/>
      <c r="U41" s="54"/>
      <c r="W41" s="33"/>
    </row>
    <row r="42" spans="1:30" ht="14.4" customHeight="1" x14ac:dyDescent="0.25">
      <c r="A42" s="127"/>
      <c r="B42" s="124"/>
      <c r="C42" s="34"/>
      <c r="E42" s="41"/>
      <c r="F42" s="63"/>
      <c r="G42" s="345" t="s">
        <v>130</v>
      </c>
      <c r="H42" s="345"/>
      <c r="I42" s="345"/>
      <c r="J42" s="72"/>
      <c r="K42" s="72"/>
      <c r="L42" s="72"/>
      <c r="M42" s="72"/>
      <c r="N42" s="72"/>
      <c r="O42" s="72"/>
      <c r="P42" s="72"/>
      <c r="Q42" s="72"/>
      <c r="R42" s="72"/>
      <c r="S42" s="95"/>
      <c r="T42" s="112"/>
      <c r="U42" s="54"/>
      <c r="W42" s="33"/>
    </row>
    <row r="43" spans="1:30" ht="12" customHeight="1" x14ac:dyDescent="0.25">
      <c r="A43" s="127"/>
      <c r="B43" s="124"/>
      <c r="C43" s="34"/>
      <c r="E43" s="41"/>
      <c r="F43" s="63"/>
      <c r="G43" s="84" t="s">
        <v>115</v>
      </c>
      <c r="H43" s="85" t="s">
        <v>127</v>
      </c>
      <c r="I43" s="83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112"/>
      <c r="U43" s="54"/>
      <c r="W43" s="33"/>
    </row>
    <row r="44" spans="1:30" ht="14.4" customHeight="1" x14ac:dyDescent="0.25">
      <c r="A44" s="127"/>
      <c r="B44" s="124"/>
      <c r="C44" s="34"/>
      <c r="E44" s="41"/>
      <c r="F44" s="63"/>
      <c r="G44" s="345" t="s">
        <v>131</v>
      </c>
      <c r="H44" s="345"/>
      <c r="I44" s="345"/>
      <c r="J44" s="72"/>
      <c r="K44" s="72"/>
      <c r="L44" s="72"/>
      <c r="M44" s="72"/>
      <c r="N44" s="72"/>
      <c r="O44" s="72"/>
      <c r="P44" s="72"/>
      <c r="Q44" s="72"/>
      <c r="R44" s="72"/>
      <c r="S44" s="95"/>
      <c r="T44" s="112"/>
      <c r="U44" s="54"/>
      <c r="W44" s="33"/>
    </row>
    <row r="45" spans="1:30" ht="12" customHeight="1" x14ac:dyDescent="0.25">
      <c r="A45" s="127"/>
      <c r="B45" s="124"/>
      <c r="C45" s="34"/>
      <c r="E45" s="41"/>
      <c r="F45" s="63"/>
      <c r="G45" s="84" t="s">
        <v>115</v>
      </c>
      <c r="H45" s="85" t="s">
        <v>127</v>
      </c>
      <c r="I45" s="83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112"/>
      <c r="U45" s="54"/>
      <c r="W45" s="43"/>
      <c r="X45" s="43"/>
      <c r="Y45" s="43"/>
      <c r="Z45" s="43"/>
      <c r="AA45" s="43"/>
      <c r="AB45" s="43"/>
      <c r="AC45" s="43"/>
      <c r="AD45" s="43"/>
    </row>
    <row r="46" spans="1:30" ht="14.4" customHeight="1" x14ac:dyDescent="0.25">
      <c r="A46" s="127"/>
      <c r="B46" s="124"/>
      <c r="C46" s="34"/>
      <c r="E46" s="41"/>
      <c r="F46" s="63"/>
      <c r="G46" s="345" t="s">
        <v>132</v>
      </c>
      <c r="H46" s="345"/>
      <c r="I46" s="345"/>
      <c r="J46" s="72"/>
      <c r="K46" s="72"/>
      <c r="L46" s="72"/>
      <c r="M46" s="72"/>
      <c r="N46" s="72"/>
      <c r="O46" s="72"/>
      <c r="P46" s="72"/>
      <c r="Q46" s="72"/>
      <c r="R46" s="72"/>
      <c r="S46" s="95"/>
      <c r="T46" s="112"/>
      <c r="U46" s="54"/>
      <c r="W46" s="43"/>
      <c r="X46" s="43"/>
      <c r="Y46" s="43"/>
      <c r="Z46" s="43"/>
      <c r="AA46" s="43"/>
      <c r="AB46" s="43"/>
      <c r="AC46" s="43"/>
      <c r="AD46" s="43"/>
    </row>
    <row r="47" spans="1:30" ht="12" customHeight="1" x14ac:dyDescent="0.25">
      <c r="A47" s="127"/>
      <c r="B47" s="124"/>
      <c r="C47" s="34"/>
      <c r="E47" s="41"/>
      <c r="F47" s="63"/>
      <c r="G47" s="84" t="s">
        <v>115</v>
      </c>
      <c r="H47" s="85" t="s">
        <v>116</v>
      </c>
      <c r="I47" s="83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112"/>
      <c r="U47" s="54"/>
      <c r="W47" s="43"/>
      <c r="X47" s="43"/>
      <c r="Y47" s="43"/>
      <c r="Z47" s="43"/>
      <c r="AA47" s="43"/>
      <c r="AB47" s="43"/>
      <c r="AC47" s="43"/>
      <c r="AD47" s="43"/>
    </row>
    <row r="48" spans="1:30" ht="12" customHeight="1" x14ac:dyDescent="0.25">
      <c r="A48" s="127"/>
      <c r="B48" s="124"/>
      <c r="C48" s="34"/>
      <c r="E48" s="41"/>
      <c r="F48" s="63"/>
      <c r="G48" s="84" t="s">
        <v>115</v>
      </c>
      <c r="H48" s="85" t="s">
        <v>127</v>
      </c>
      <c r="I48" s="83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112"/>
      <c r="U48" s="54"/>
      <c r="W48" s="43"/>
      <c r="X48" s="43"/>
      <c r="Y48" s="43"/>
      <c r="Z48" s="43"/>
      <c r="AA48" s="43"/>
      <c r="AB48" s="43"/>
      <c r="AC48" s="43"/>
      <c r="AD48" s="43"/>
    </row>
    <row r="49" spans="1:30" ht="12" customHeight="1" x14ac:dyDescent="0.25">
      <c r="A49" s="127"/>
      <c r="B49" s="124"/>
      <c r="C49" s="34"/>
      <c r="E49" s="41"/>
      <c r="F49" s="63"/>
      <c r="G49" s="73"/>
      <c r="H49" s="73"/>
      <c r="I49" s="73"/>
      <c r="J49" s="74"/>
      <c r="K49" s="74"/>
      <c r="L49" s="74"/>
      <c r="M49" s="74"/>
      <c r="N49" s="74"/>
      <c r="O49" s="74"/>
      <c r="P49" s="75"/>
      <c r="Q49" s="75"/>
      <c r="R49" s="75"/>
      <c r="S49" s="76"/>
      <c r="T49" s="109"/>
      <c r="U49" s="54"/>
      <c r="W49" s="43"/>
      <c r="X49" s="43"/>
      <c r="Y49" s="43"/>
      <c r="Z49" s="43"/>
      <c r="AA49" s="43"/>
      <c r="AB49" s="43"/>
      <c r="AC49" s="43"/>
      <c r="AD49" s="43"/>
    </row>
    <row r="50" spans="1:30" ht="12" customHeight="1" x14ac:dyDescent="0.25">
      <c r="A50" s="127"/>
      <c r="B50" s="124"/>
      <c r="C50" s="34"/>
      <c r="D50" s="37"/>
      <c r="E50" s="37"/>
      <c r="F50" s="78"/>
      <c r="G50" s="81" t="s">
        <v>120</v>
      </c>
      <c r="H50" s="79"/>
      <c r="I50" s="80"/>
      <c r="J50" s="283">
        <f>J34+J35+J37+J39+J41+J43+J45+J47+J48</f>
        <v>100000</v>
      </c>
      <c r="K50" s="283">
        <f t="shared" ref="K50:S50" si="3">K34+K35+K37+K39+K41+K43+K45+K47+K48</f>
        <v>75000</v>
      </c>
      <c r="L50" s="283">
        <f t="shared" si="3"/>
        <v>75000</v>
      </c>
      <c r="M50" s="283">
        <f t="shared" si="3"/>
        <v>75000</v>
      </c>
      <c r="N50" s="283">
        <f t="shared" si="3"/>
        <v>75000</v>
      </c>
      <c r="O50" s="283">
        <f t="shared" si="3"/>
        <v>75000</v>
      </c>
      <c r="P50" s="283">
        <f t="shared" si="3"/>
        <v>75000</v>
      </c>
      <c r="Q50" s="283">
        <f t="shared" si="3"/>
        <v>75000</v>
      </c>
      <c r="R50" s="283">
        <f t="shared" si="3"/>
        <v>75000</v>
      </c>
      <c r="S50" s="283">
        <f t="shared" si="3"/>
        <v>75000</v>
      </c>
      <c r="T50" s="109"/>
      <c r="U50" s="54"/>
      <c r="W50" s="43"/>
      <c r="X50" s="43"/>
      <c r="Y50" s="43"/>
      <c r="Z50" s="43"/>
      <c r="AA50" s="43"/>
      <c r="AB50" s="43"/>
      <c r="AC50" s="43"/>
      <c r="AD50" s="43"/>
    </row>
    <row r="51" spans="1:30" ht="12" customHeight="1" x14ac:dyDescent="0.25">
      <c r="A51" s="127"/>
      <c r="B51" s="124"/>
      <c r="C51" s="34"/>
      <c r="D51" s="37"/>
      <c r="E51" s="37"/>
      <c r="F51" s="37"/>
      <c r="I51" s="3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109"/>
      <c r="U51" s="54"/>
      <c r="W51" s="43"/>
      <c r="X51" s="43"/>
      <c r="Y51" s="43"/>
      <c r="Z51" s="43"/>
      <c r="AA51" s="43"/>
      <c r="AB51" s="43"/>
      <c r="AC51" s="43"/>
      <c r="AD51" s="43"/>
    </row>
    <row r="52" spans="1:30" ht="12" customHeight="1" x14ac:dyDescent="0.25">
      <c r="A52" s="127"/>
      <c r="B52" s="124"/>
      <c r="C52" s="34"/>
      <c r="D52" s="37"/>
      <c r="E52" s="37"/>
      <c r="F52" s="37"/>
      <c r="I52" s="3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109"/>
      <c r="U52" s="54"/>
      <c r="W52" s="43"/>
      <c r="X52" s="43"/>
      <c r="Y52" s="43"/>
      <c r="Z52" s="43"/>
      <c r="AA52" s="43"/>
      <c r="AB52" s="43"/>
      <c r="AC52" s="43"/>
      <c r="AD52" s="43"/>
    </row>
    <row r="53" spans="1:30" ht="12" customHeight="1" x14ac:dyDescent="0.3">
      <c r="A53" s="127"/>
      <c r="B53" s="124"/>
      <c r="C53" s="34"/>
      <c r="D53" s="65" t="s">
        <v>133</v>
      </c>
      <c r="E53" s="65" t="s">
        <v>134</v>
      </c>
      <c r="F53" s="61"/>
      <c r="G53" s="60"/>
      <c r="H53" s="65"/>
      <c r="I53" s="90"/>
      <c r="J53" s="88">
        <f t="shared" ref="J53:S53" si="4">+J16</f>
        <v>2026</v>
      </c>
      <c r="K53" s="88">
        <f t="shared" si="4"/>
        <v>2027</v>
      </c>
      <c r="L53" s="88">
        <f t="shared" si="4"/>
        <v>2028</v>
      </c>
      <c r="M53" s="88">
        <f t="shared" si="4"/>
        <v>2029</v>
      </c>
      <c r="N53" s="88">
        <f t="shared" si="4"/>
        <v>2030</v>
      </c>
      <c r="O53" s="88">
        <f t="shared" si="4"/>
        <v>2031</v>
      </c>
      <c r="P53" s="88">
        <f t="shared" si="4"/>
        <v>2032</v>
      </c>
      <c r="Q53" s="88">
        <f t="shared" si="4"/>
        <v>2033</v>
      </c>
      <c r="R53" s="88">
        <f t="shared" si="4"/>
        <v>2034</v>
      </c>
      <c r="S53" s="88">
        <f t="shared" si="4"/>
        <v>2035</v>
      </c>
      <c r="T53" s="109"/>
      <c r="U53" s="54"/>
      <c r="W53" s="43"/>
      <c r="X53" s="43"/>
      <c r="Y53" s="43"/>
      <c r="Z53" s="43"/>
      <c r="AA53" s="43"/>
      <c r="AB53" s="43"/>
      <c r="AC53" s="43"/>
      <c r="AD53" s="43"/>
    </row>
    <row r="54" spans="1:30" ht="12" hidden="1" customHeight="1" x14ac:dyDescent="0.25">
      <c r="A54" s="127"/>
      <c r="B54" s="124"/>
      <c r="C54" s="34"/>
      <c r="E54" s="43"/>
      <c r="F54" s="89"/>
      <c r="G54" s="225" t="str">
        <f>"Investment from "&amp;J53</f>
        <v>Investment from 2026</v>
      </c>
      <c r="H54" s="43"/>
      <c r="J54" s="91">
        <f>IF(J$53=$Q$11,SUM($J$19:$S$20),0)+J$22+J$24</f>
        <v>80000</v>
      </c>
      <c r="K54" s="91"/>
      <c r="L54" s="91"/>
      <c r="M54" s="91"/>
      <c r="N54" s="91"/>
      <c r="O54" s="91"/>
      <c r="P54" s="91"/>
      <c r="Q54" s="91"/>
      <c r="R54" s="91"/>
      <c r="S54" s="91"/>
      <c r="T54" s="109"/>
      <c r="U54" s="54"/>
      <c r="W54" s="43"/>
      <c r="X54" s="43"/>
      <c r="Y54" s="43"/>
      <c r="Z54" s="43"/>
      <c r="AA54" s="43"/>
      <c r="AB54" s="43"/>
      <c r="AC54" s="43"/>
      <c r="AD54" s="43"/>
    </row>
    <row r="55" spans="1:30" s="43" customFormat="1" ht="12" customHeight="1" x14ac:dyDescent="0.25">
      <c r="A55" s="127"/>
      <c r="B55" s="124"/>
      <c r="C55" s="34"/>
      <c r="F55" s="89"/>
      <c r="G55" s="351" t="str">
        <f>"Depreciation from "&amp;J16-1</f>
        <v>Depreciation from 2025</v>
      </c>
      <c r="H55" s="351"/>
      <c r="I55" s="351"/>
      <c r="J55" s="91">
        <f>J54/$J$28/2</f>
        <v>8000</v>
      </c>
      <c r="K55" s="91">
        <f t="shared" ref="K55:S55" si="5">IF($J$54/$J$28&lt;J56,$J$54/$J$28,J56)</f>
        <v>16000</v>
      </c>
      <c r="L55" s="91">
        <f t="shared" si="5"/>
        <v>16000</v>
      </c>
      <c r="M55" s="91">
        <f t="shared" si="5"/>
        <v>16000</v>
      </c>
      <c r="N55" s="91">
        <f t="shared" si="5"/>
        <v>16000</v>
      </c>
      <c r="O55" s="91">
        <f t="shared" si="5"/>
        <v>8000</v>
      </c>
      <c r="P55" s="91">
        <f t="shared" si="5"/>
        <v>0</v>
      </c>
      <c r="Q55" s="91">
        <f t="shared" si="5"/>
        <v>0</v>
      </c>
      <c r="R55" s="91">
        <f t="shared" si="5"/>
        <v>0</v>
      </c>
      <c r="S55" s="96">
        <f t="shared" si="5"/>
        <v>0</v>
      </c>
      <c r="T55" s="109"/>
      <c r="U55" s="54"/>
    </row>
    <row r="56" spans="1:30" s="43" customFormat="1" ht="12" hidden="1" customHeight="1" x14ac:dyDescent="0.25">
      <c r="A56" s="127"/>
      <c r="B56" s="124"/>
      <c r="C56" s="34"/>
      <c r="F56" s="89"/>
      <c r="G56" s="225" t="s">
        <v>135</v>
      </c>
      <c r="H56" s="33"/>
      <c r="J56" s="91">
        <f>J54-J55</f>
        <v>72000</v>
      </c>
      <c r="K56" s="91">
        <f t="shared" ref="K56:S56" si="6">J56-K55</f>
        <v>56000</v>
      </c>
      <c r="L56" s="91">
        <f t="shared" si="6"/>
        <v>40000</v>
      </c>
      <c r="M56" s="91">
        <f t="shared" si="6"/>
        <v>24000</v>
      </c>
      <c r="N56" s="91">
        <f t="shared" si="6"/>
        <v>8000</v>
      </c>
      <c r="O56" s="91">
        <f t="shared" si="6"/>
        <v>0</v>
      </c>
      <c r="P56" s="91">
        <f t="shared" si="6"/>
        <v>0</v>
      </c>
      <c r="Q56" s="91">
        <f t="shared" si="6"/>
        <v>0</v>
      </c>
      <c r="R56" s="91">
        <f t="shared" si="6"/>
        <v>0</v>
      </c>
      <c r="S56" s="96">
        <f t="shared" si="6"/>
        <v>0</v>
      </c>
      <c r="T56" s="109"/>
      <c r="U56" s="54"/>
    </row>
    <row r="57" spans="1:30" s="43" customFormat="1" ht="12" hidden="1" customHeight="1" x14ac:dyDescent="0.25">
      <c r="A57" s="127"/>
      <c r="B57" s="124"/>
      <c r="C57" s="34"/>
      <c r="F57" s="89"/>
      <c r="G57" s="225" t="str">
        <f>"Investment from "&amp;K$53</f>
        <v>Investment from 2027</v>
      </c>
      <c r="H57" s="33"/>
      <c r="J57" s="91"/>
      <c r="K57" s="91">
        <f>IF(K$53=$Q$11,SUM($J$19:$S$20),0)+K$22+K$24</f>
        <v>400000</v>
      </c>
      <c r="L57" s="91"/>
      <c r="M57" s="91"/>
      <c r="N57" s="91"/>
      <c r="O57" s="91"/>
      <c r="P57" s="91"/>
      <c r="Q57" s="91"/>
      <c r="R57" s="91"/>
      <c r="S57" s="96"/>
      <c r="T57" s="109"/>
      <c r="U57" s="54"/>
    </row>
    <row r="58" spans="1:30" s="43" customFormat="1" ht="12" customHeight="1" x14ac:dyDescent="0.25">
      <c r="A58" s="127"/>
      <c r="B58" s="124"/>
      <c r="C58" s="34"/>
      <c r="F58" s="89"/>
      <c r="G58" s="351" t="str">
        <f>"Depreciation from "&amp;J53</f>
        <v>Depreciation from 2026</v>
      </c>
      <c r="H58" s="351"/>
      <c r="I58" s="351"/>
      <c r="J58" s="91"/>
      <c r="K58" s="91">
        <f>K57/$J$28/2</f>
        <v>40000</v>
      </c>
      <c r="L58" s="91">
        <f t="shared" ref="L58:S58" si="7">IF($K$57/$J$28&lt;K59,$K$57/$J$28,K59)</f>
        <v>80000</v>
      </c>
      <c r="M58" s="91">
        <f t="shared" si="7"/>
        <v>80000</v>
      </c>
      <c r="N58" s="91">
        <f t="shared" si="7"/>
        <v>80000</v>
      </c>
      <c r="O58" s="91">
        <f t="shared" si="7"/>
        <v>80000</v>
      </c>
      <c r="P58" s="91">
        <f t="shared" si="7"/>
        <v>40000</v>
      </c>
      <c r="Q58" s="91">
        <f t="shared" si="7"/>
        <v>0</v>
      </c>
      <c r="R58" s="91">
        <f t="shared" si="7"/>
        <v>0</v>
      </c>
      <c r="S58" s="96">
        <f t="shared" si="7"/>
        <v>0</v>
      </c>
      <c r="T58" s="109"/>
      <c r="U58" s="54"/>
    </row>
    <row r="59" spans="1:30" s="43" customFormat="1" ht="12" hidden="1" customHeight="1" x14ac:dyDescent="0.25">
      <c r="A59" s="127"/>
      <c r="B59" s="124"/>
      <c r="C59" s="34"/>
      <c r="F59" s="89"/>
      <c r="G59" s="225" t="s">
        <v>135</v>
      </c>
      <c r="H59" s="37"/>
      <c r="I59" s="40"/>
      <c r="J59" s="91"/>
      <c r="K59" s="91">
        <f>K57-K58</f>
        <v>360000</v>
      </c>
      <c r="L59" s="91">
        <f t="shared" ref="L59:S59" si="8">K59-L58</f>
        <v>280000</v>
      </c>
      <c r="M59" s="91">
        <f t="shared" si="8"/>
        <v>200000</v>
      </c>
      <c r="N59" s="91">
        <f t="shared" si="8"/>
        <v>120000</v>
      </c>
      <c r="O59" s="91">
        <f t="shared" si="8"/>
        <v>40000</v>
      </c>
      <c r="P59" s="91">
        <f t="shared" si="8"/>
        <v>0</v>
      </c>
      <c r="Q59" s="91">
        <f t="shared" si="8"/>
        <v>0</v>
      </c>
      <c r="R59" s="91">
        <f t="shared" si="8"/>
        <v>0</v>
      </c>
      <c r="S59" s="96">
        <f t="shared" si="8"/>
        <v>0</v>
      </c>
      <c r="T59" s="109"/>
      <c r="U59" s="54"/>
    </row>
    <row r="60" spans="1:30" s="43" customFormat="1" ht="12" hidden="1" customHeight="1" x14ac:dyDescent="0.25">
      <c r="A60" s="127"/>
      <c r="B60" s="124"/>
      <c r="C60" s="34"/>
      <c r="F60" s="89"/>
      <c r="G60" s="351" t="str">
        <f>"Investment from "&amp;$L$53</f>
        <v>Investment from 2028</v>
      </c>
      <c r="H60" s="351"/>
      <c r="I60" s="351"/>
      <c r="J60" s="91"/>
      <c r="K60" s="91"/>
      <c r="L60" s="91">
        <f>IF(L$53=$Q$11,SUM($J$19:$S$20),0)+L$22+L$24</f>
        <v>0</v>
      </c>
      <c r="M60" s="91"/>
      <c r="N60" s="91"/>
      <c r="O60" s="91"/>
      <c r="P60" s="91"/>
      <c r="Q60" s="91"/>
      <c r="R60" s="91"/>
      <c r="S60" s="96"/>
      <c r="T60" s="109"/>
      <c r="U60" s="54"/>
    </row>
    <row r="61" spans="1:30" s="43" customFormat="1" ht="12" customHeight="1" x14ac:dyDescent="0.25">
      <c r="A61" s="127"/>
      <c r="B61" s="124"/>
      <c r="C61" s="34"/>
      <c r="F61" s="89"/>
      <c r="G61" s="351" t="str">
        <f>"Depreciation from "&amp;$K$53</f>
        <v>Depreciation from 2027</v>
      </c>
      <c r="H61" s="351"/>
      <c r="I61" s="351"/>
      <c r="J61" s="91"/>
      <c r="K61" s="91"/>
      <c r="L61" s="91">
        <f>L60/$J$28/2</f>
        <v>0</v>
      </c>
      <c r="M61" s="91">
        <f t="shared" ref="M61:S61" si="9">IF($L$60/$J$28&lt;L62,$L$60/$J$28,L62)</f>
        <v>0</v>
      </c>
      <c r="N61" s="91">
        <f t="shared" si="9"/>
        <v>0</v>
      </c>
      <c r="O61" s="91">
        <f t="shared" si="9"/>
        <v>0</v>
      </c>
      <c r="P61" s="91">
        <f t="shared" si="9"/>
        <v>0</v>
      </c>
      <c r="Q61" s="91">
        <f t="shared" si="9"/>
        <v>0</v>
      </c>
      <c r="R61" s="91">
        <f t="shared" si="9"/>
        <v>0</v>
      </c>
      <c r="S61" s="96">
        <f t="shared" si="9"/>
        <v>0</v>
      </c>
      <c r="T61" s="109"/>
      <c r="U61" s="54"/>
    </row>
    <row r="62" spans="1:30" s="43" customFormat="1" ht="12" hidden="1" customHeight="1" x14ac:dyDescent="0.25">
      <c r="A62" s="127"/>
      <c r="B62" s="124"/>
      <c r="C62" s="34"/>
      <c r="F62" s="89"/>
      <c r="G62" s="225" t="s">
        <v>135</v>
      </c>
      <c r="H62" s="37"/>
      <c r="I62" s="40"/>
      <c r="J62" s="91"/>
      <c r="K62" s="91"/>
      <c r="L62" s="91">
        <f>L60-L61</f>
        <v>0</v>
      </c>
      <c r="M62" s="91">
        <f t="shared" ref="M62:S62" si="10">L62-M61</f>
        <v>0</v>
      </c>
      <c r="N62" s="91">
        <f t="shared" si="10"/>
        <v>0</v>
      </c>
      <c r="O62" s="91">
        <f t="shared" si="10"/>
        <v>0</v>
      </c>
      <c r="P62" s="91">
        <f t="shared" si="10"/>
        <v>0</v>
      </c>
      <c r="Q62" s="91">
        <f t="shared" si="10"/>
        <v>0</v>
      </c>
      <c r="R62" s="91">
        <f t="shared" si="10"/>
        <v>0</v>
      </c>
      <c r="S62" s="96">
        <f t="shared" si="10"/>
        <v>0</v>
      </c>
      <c r="T62" s="109"/>
      <c r="U62" s="54"/>
    </row>
    <row r="63" spans="1:30" s="43" customFormat="1" ht="12" hidden="1" customHeight="1" x14ac:dyDescent="0.25">
      <c r="A63" s="127"/>
      <c r="B63" s="124"/>
      <c r="C63" s="34"/>
      <c r="F63" s="89"/>
      <c r="G63" s="225" t="str">
        <f>"Investment from "&amp;M53</f>
        <v>Investment from 2029</v>
      </c>
      <c r="H63" s="37"/>
      <c r="I63" s="40"/>
      <c r="J63" s="91"/>
      <c r="K63" s="91"/>
      <c r="L63" s="91"/>
      <c r="M63" s="91">
        <f>IF(M$53=$Q$11,SUM($J$19:$S$20),0)+M$22+M$24</f>
        <v>0</v>
      </c>
      <c r="N63" s="91"/>
      <c r="O63" s="91"/>
      <c r="P63" s="91"/>
      <c r="Q63" s="91"/>
      <c r="R63" s="91"/>
      <c r="S63" s="96"/>
      <c r="T63" s="109"/>
      <c r="U63" s="54"/>
    </row>
    <row r="64" spans="1:30" s="43" customFormat="1" ht="12" customHeight="1" x14ac:dyDescent="0.25">
      <c r="A64" s="127"/>
      <c r="B64" s="124"/>
      <c r="C64" s="34"/>
      <c r="F64" s="89"/>
      <c r="G64" s="351" t="str">
        <f>"Depreciation from "&amp;$L$53</f>
        <v>Depreciation from 2028</v>
      </c>
      <c r="H64" s="351"/>
      <c r="I64" s="351"/>
      <c r="J64" s="91"/>
      <c r="K64" s="91"/>
      <c r="L64" s="91"/>
      <c r="M64" s="91">
        <f>M63/$J$28/2</f>
        <v>0</v>
      </c>
      <c r="N64" s="91">
        <f t="shared" ref="N64:S64" si="11">IF($M$63/$J$28&lt;M65,$M$63/$J$28,M65)</f>
        <v>0</v>
      </c>
      <c r="O64" s="91">
        <f t="shared" si="11"/>
        <v>0</v>
      </c>
      <c r="P64" s="91">
        <f t="shared" si="11"/>
        <v>0</v>
      </c>
      <c r="Q64" s="91">
        <f t="shared" si="11"/>
        <v>0</v>
      </c>
      <c r="R64" s="91">
        <f t="shared" si="11"/>
        <v>0</v>
      </c>
      <c r="S64" s="96">
        <f t="shared" si="11"/>
        <v>0</v>
      </c>
      <c r="T64" s="109"/>
      <c r="U64" s="54"/>
    </row>
    <row r="65" spans="1:30" s="43" customFormat="1" ht="12" hidden="1" customHeight="1" x14ac:dyDescent="0.25">
      <c r="A65" s="127"/>
      <c r="B65" s="124"/>
      <c r="C65" s="34"/>
      <c r="F65" s="89"/>
      <c r="G65" s="225" t="s">
        <v>135</v>
      </c>
      <c r="H65" s="37"/>
      <c r="I65" s="40"/>
      <c r="J65" s="91"/>
      <c r="K65" s="91"/>
      <c r="L65" s="91"/>
      <c r="M65" s="91">
        <f>M63-M64</f>
        <v>0</v>
      </c>
      <c r="N65" s="91">
        <f t="shared" ref="N65:S65" si="12">M65-N64</f>
        <v>0</v>
      </c>
      <c r="O65" s="91">
        <f t="shared" si="12"/>
        <v>0</v>
      </c>
      <c r="P65" s="91">
        <f t="shared" si="12"/>
        <v>0</v>
      </c>
      <c r="Q65" s="91">
        <f t="shared" si="12"/>
        <v>0</v>
      </c>
      <c r="R65" s="91">
        <f t="shared" si="12"/>
        <v>0</v>
      </c>
      <c r="S65" s="96">
        <f t="shared" si="12"/>
        <v>0</v>
      </c>
      <c r="T65" s="109"/>
      <c r="U65" s="54"/>
    </row>
    <row r="66" spans="1:30" s="43" customFormat="1" ht="12" hidden="1" customHeight="1" x14ac:dyDescent="0.25">
      <c r="A66" s="127"/>
      <c r="B66" s="124"/>
      <c r="C66" s="34"/>
      <c r="F66" s="89"/>
      <c r="G66" s="225" t="str">
        <f>"Investment from "&amp;N53</f>
        <v>Investment from 2030</v>
      </c>
      <c r="H66" s="37"/>
      <c r="I66" s="40"/>
      <c r="J66" s="91"/>
      <c r="K66" s="91"/>
      <c r="L66" s="91"/>
      <c r="M66" s="91"/>
      <c r="N66" s="91">
        <f>IF(N$53=$Q$11,SUM($J$19:$S$20),0)+N$22+N$24</f>
        <v>0</v>
      </c>
      <c r="O66" s="91"/>
      <c r="P66" s="91"/>
      <c r="Q66" s="91"/>
      <c r="R66" s="91"/>
      <c r="S66" s="96"/>
      <c r="T66" s="109"/>
      <c r="U66" s="54"/>
    </row>
    <row r="67" spans="1:30" s="43" customFormat="1" ht="12" customHeight="1" x14ac:dyDescent="0.25">
      <c r="A67" s="127"/>
      <c r="B67" s="124"/>
      <c r="C67" s="34"/>
      <c r="F67" s="89"/>
      <c r="G67" s="351" t="str">
        <f>"Depreciation from "&amp;$M$53</f>
        <v>Depreciation from 2029</v>
      </c>
      <c r="H67" s="351"/>
      <c r="I67" s="351"/>
      <c r="J67" s="91"/>
      <c r="K67" s="91"/>
      <c r="L67" s="91"/>
      <c r="M67" s="91"/>
      <c r="N67" s="91">
        <f>N66/$J$28/2</f>
        <v>0</v>
      </c>
      <c r="O67" s="91">
        <f>IF($N$66/$J$28&lt;N68,$N$66/$J$28,N68)</f>
        <v>0</v>
      </c>
      <c r="P67" s="91">
        <f>IF($N$66/$J$28&lt;O68,$N$66/$J$28,O68)</f>
        <v>0</v>
      </c>
      <c r="Q67" s="91">
        <f>IF($N$66/$J$28&lt;P68,$N$66/$J$28,P68)</f>
        <v>0</v>
      </c>
      <c r="R67" s="91">
        <f>IF($N$66/$J$28&lt;Q68,$N$66/$J$28,Q68)</f>
        <v>0</v>
      </c>
      <c r="S67" s="96">
        <f>IF($N$66/$J$28&lt;R68,$N$66/$J$28,R68)</f>
        <v>0</v>
      </c>
      <c r="T67" s="109"/>
      <c r="U67" s="54"/>
    </row>
    <row r="68" spans="1:30" s="43" customFormat="1" ht="12" hidden="1" customHeight="1" x14ac:dyDescent="0.25">
      <c r="A68" s="127"/>
      <c r="B68" s="124"/>
      <c r="C68" s="34"/>
      <c r="F68" s="89"/>
      <c r="G68" s="225" t="s">
        <v>135</v>
      </c>
      <c r="H68" s="37"/>
      <c r="I68" s="40"/>
      <c r="J68" s="91"/>
      <c r="K68" s="91"/>
      <c r="L68" s="91"/>
      <c r="M68" s="91"/>
      <c r="N68" s="91">
        <f>N66-N67</f>
        <v>0</v>
      </c>
      <c r="O68" s="91">
        <f>N68-O67</f>
        <v>0</v>
      </c>
      <c r="P68" s="91">
        <f>O68-P67</f>
        <v>0</v>
      </c>
      <c r="Q68" s="91">
        <f>P68-Q67</f>
        <v>0</v>
      </c>
      <c r="R68" s="91">
        <f>Q68-R67</f>
        <v>0</v>
      </c>
      <c r="S68" s="96">
        <f>R68-S67</f>
        <v>0</v>
      </c>
      <c r="T68" s="109"/>
      <c r="U68" s="54"/>
    </row>
    <row r="69" spans="1:30" s="43" customFormat="1" ht="12" hidden="1" customHeight="1" x14ac:dyDescent="0.25">
      <c r="A69" s="127"/>
      <c r="B69" s="124"/>
      <c r="C69" s="34"/>
      <c r="F69" s="89"/>
      <c r="G69" s="225" t="str">
        <f>"Investment from "&amp;O53</f>
        <v>Investment from 2031</v>
      </c>
      <c r="H69" s="37"/>
      <c r="I69" s="40"/>
      <c r="J69" s="91"/>
      <c r="K69" s="91"/>
      <c r="L69" s="91"/>
      <c r="M69" s="91"/>
      <c r="N69" s="91"/>
      <c r="O69" s="91">
        <f>IF(O$53=$Q$11,SUM($J$19:$S$20),0)+O$22+O$24</f>
        <v>0</v>
      </c>
      <c r="P69" s="91"/>
      <c r="Q69" s="91"/>
      <c r="R69" s="91"/>
      <c r="S69" s="96"/>
      <c r="T69" s="109"/>
      <c r="U69" s="54"/>
    </row>
    <row r="70" spans="1:30" s="43" customFormat="1" ht="12" customHeight="1" x14ac:dyDescent="0.25">
      <c r="A70" s="127"/>
      <c r="B70" s="124"/>
      <c r="C70" s="34"/>
      <c r="F70" s="89"/>
      <c r="G70" s="351" t="str">
        <f>"Depreciation from "&amp;$N$53</f>
        <v>Depreciation from 2030</v>
      </c>
      <c r="H70" s="351"/>
      <c r="I70" s="351"/>
      <c r="J70" s="91"/>
      <c r="K70" s="91"/>
      <c r="L70" s="91"/>
      <c r="M70" s="91"/>
      <c r="N70" s="91"/>
      <c r="O70" s="91">
        <f>O69/$J$28/2</f>
        <v>0</v>
      </c>
      <c r="P70" s="91">
        <f>IF($O$69/$J$28&lt;O71,$O$69/$J$28,O71)</f>
        <v>0</v>
      </c>
      <c r="Q70" s="91">
        <f>IF($O$69/$J$28&lt;P71,$O$69/$J$28,P71)</f>
        <v>0</v>
      </c>
      <c r="R70" s="91">
        <f>IF($O$69/$J$28&lt;Q71,$O$69/$J$28,Q71)</f>
        <v>0</v>
      </c>
      <c r="S70" s="96">
        <f>IF($O$69/$J$28&lt;R71,$O$69/$J$28,R71)</f>
        <v>0</v>
      </c>
      <c r="T70" s="109"/>
      <c r="U70" s="54"/>
    </row>
    <row r="71" spans="1:30" s="43" customFormat="1" ht="12" hidden="1" customHeight="1" x14ac:dyDescent="0.25">
      <c r="A71" s="127"/>
      <c r="B71" s="124"/>
      <c r="C71" s="34"/>
      <c r="F71" s="89"/>
      <c r="G71" s="225" t="s">
        <v>135</v>
      </c>
      <c r="H71" s="37"/>
      <c r="I71" s="40"/>
      <c r="J71" s="91"/>
      <c r="K71" s="91"/>
      <c r="L71" s="91"/>
      <c r="M71" s="91"/>
      <c r="N71" s="91"/>
      <c r="O71" s="91">
        <f>O69-O70</f>
        <v>0</v>
      </c>
      <c r="P71" s="91">
        <f>O71-P70</f>
        <v>0</v>
      </c>
      <c r="Q71" s="91">
        <f>P71-Q70</f>
        <v>0</v>
      </c>
      <c r="R71" s="91">
        <f>Q71-R70</f>
        <v>0</v>
      </c>
      <c r="S71" s="96">
        <f>R71-S70</f>
        <v>0</v>
      </c>
      <c r="T71" s="109"/>
      <c r="U71" s="54"/>
    </row>
    <row r="72" spans="1:30" s="43" customFormat="1" ht="12" hidden="1" customHeight="1" x14ac:dyDescent="0.25">
      <c r="A72" s="127"/>
      <c r="B72" s="124"/>
      <c r="C72" s="34"/>
      <c r="F72" s="89"/>
      <c r="G72" s="225" t="str">
        <f>"Investment from "&amp;P53</f>
        <v>Investment from 2032</v>
      </c>
      <c r="H72" s="37"/>
      <c r="I72" s="40"/>
      <c r="J72" s="91"/>
      <c r="K72" s="91"/>
      <c r="L72" s="91"/>
      <c r="M72" s="91"/>
      <c r="N72" s="91"/>
      <c r="O72" s="91"/>
      <c r="P72" s="91">
        <f>IF(P$53=$Q$11,SUM($J$19:$S$20),0)+P$22+P$24</f>
        <v>0</v>
      </c>
      <c r="Q72" s="91"/>
      <c r="R72" s="91"/>
      <c r="S72" s="96"/>
      <c r="T72" s="109"/>
      <c r="U72" s="54"/>
    </row>
    <row r="73" spans="1:30" s="43" customFormat="1" ht="12" customHeight="1" x14ac:dyDescent="0.25">
      <c r="A73" s="127"/>
      <c r="B73" s="124"/>
      <c r="C73" s="34"/>
      <c r="F73" s="89"/>
      <c r="G73" s="351" t="str">
        <f>"Depreciation from "&amp;$O$53</f>
        <v>Depreciation from 2031</v>
      </c>
      <c r="H73" s="351"/>
      <c r="I73" s="351"/>
      <c r="J73" s="91"/>
      <c r="K73" s="91"/>
      <c r="L73" s="91"/>
      <c r="M73" s="91"/>
      <c r="N73" s="91"/>
      <c r="O73" s="91"/>
      <c r="P73" s="91">
        <f>P72/$J$28/2</f>
        <v>0</v>
      </c>
      <c r="Q73" s="91">
        <f>IF($P$72/$J$28&lt;P74,$P$72/$J$28,P74)</f>
        <v>0</v>
      </c>
      <c r="R73" s="91">
        <f>IF($P$72/$J$28&lt;Q74,$P$72/$J$28,Q74)</f>
        <v>0</v>
      </c>
      <c r="S73" s="96">
        <f>IF($P$72/$J$28&lt;R74,$P$72/$J$28,R74)</f>
        <v>0</v>
      </c>
      <c r="T73" s="109"/>
      <c r="U73" s="54"/>
    </row>
    <row r="74" spans="1:30" s="43" customFormat="1" ht="12" hidden="1" customHeight="1" x14ac:dyDescent="0.25">
      <c r="A74" s="127"/>
      <c r="B74" s="124"/>
      <c r="C74" s="34"/>
      <c r="F74" s="89"/>
      <c r="G74" s="225" t="s">
        <v>135</v>
      </c>
      <c r="H74" s="37"/>
      <c r="I74" s="40"/>
      <c r="J74" s="91"/>
      <c r="K74" s="91"/>
      <c r="L74" s="91"/>
      <c r="M74" s="91"/>
      <c r="N74" s="91"/>
      <c r="O74" s="91"/>
      <c r="P74" s="91">
        <f>P72-P73</f>
        <v>0</v>
      </c>
      <c r="Q74" s="91">
        <f>P74-Q73</f>
        <v>0</v>
      </c>
      <c r="R74" s="91">
        <f>Q74-R73</f>
        <v>0</v>
      </c>
      <c r="S74" s="96">
        <f>R74-S73</f>
        <v>0</v>
      </c>
      <c r="T74" s="109"/>
      <c r="U74" s="54"/>
    </row>
    <row r="75" spans="1:30" s="43" customFormat="1" ht="12" hidden="1" customHeight="1" x14ac:dyDescent="0.25">
      <c r="A75" s="127"/>
      <c r="B75" s="124"/>
      <c r="C75" s="34"/>
      <c r="F75" s="89"/>
      <c r="G75" s="225" t="str">
        <f>"Investment from "&amp;Q53</f>
        <v>Investment from 2033</v>
      </c>
      <c r="H75" s="37"/>
      <c r="I75" s="40"/>
      <c r="J75" s="91"/>
      <c r="K75" s="91"/>
      <c r="L75" s="91"/>
      <c r="M75" s="91"/>
      <c r="N75" s="91"/>
      <c r="O75" s="91"/>
      <c r="P75" s="91"/>
      <c r="Q75" s="91">
        <f>IF(Q$53=$Q$11,SUM($J$19:$S$20),0)+Q$22+Q$24</f>
        <v>0</v>
      </c>
      <c r="R75" s="91"/>
      <c r="S75" s="96"/>
      <c r="T75" s="109"/>
      <c r="U75" s="54"/>
      <c r="W75" s="33"/>
      <c r="X75" s="33"/>
      <c r="Y75" s="33"/>
      <c r="Z75" s="33"/>
      <c r="AA75" s="33"/>
      <c r="AB75" s="33"/>
      <c r="AC75" s="33"/>
      <c r="AD75" s="33"/>
    </row>
    <row r="76" spans="1:30" s="43" customFormat="1" ht="12" customHeight="1" x14ac:dyDescent="0.25">
      <c r="A76" s="127"/>
      <c r="B76" s="124"/>
      <c r="C76" s="34"/>
      <c r="F76" s="89"/>
      <c r="G76" s="351" t="str">
        <f>"Depreciation from "&amp;$P$53</f>
        <v>Depreciation from 2032</v>
      </c>
      <c r="H76" s="351"/>
      <c r="I76" s="351"/>
      <c r="J76" s="91"/>
      <c r="K76" s="91"/>
      <c r="L76" s="91"/>
      <c r="M76" s="91"/>
      <c r="N76" s="91"/>
      <c r="O76" s="91"/>
      <c r="P76" s="91"/>
      <c r="Q76" s="91">
        <f>Q75/$J$28/2</f>
        <v>0</v>
      </c>
      <c r="R76" s="91">
        <f>IF($Q$75/$J$28&lt;Q77,$Q$75/$J$28,Q77)</f>
        <v>0</v>
      </c>
      <c r="S76" s="96">
        <f>IF($Q$75/$J$28&lt;R77,$Q$75/$J$28,R77)</f>
        <v>0</v>
      </c>
      <c r="T76" s="109"/>
      <c r="U76" s="54"/>
      <c r="W76" s="36"/>
      <c r="X76" s="36"/>
      <c r="Y76" s="36"/>
      <c r="Z76" s="36"/>
      <c r="AA76" s="36"/>
      <c r="AB76" s="36"/>
      <c r="AC76" s="36"/>
      <c r="AD76" s="36"/>
    </row>
    <row r="77" spans="1:30" s="43" customFormat="1" ht="12" hidden="1" customHeight="1" x14ac:dyDescent="0.25">
      <c r="A77" s="127"/>
      <c r="B77" s="124"/>
      <c r="C77" s="34"/>
      <c r="F77" s="89"/>
      <c r="G77" s="225" t="s">
        <v>135</v>
      </c>
      <c r="H77" s="37"/>
      <c r="I77" s="40"/>
      <c r="J77" s="91"/>
      <c r="K77" s="91"/>
      <c r="L77" s="91"/>
      <c r="M77" s="91"/>
      <c r="N77" s="91"/>
      <c r="O77" s="91"/>
      <c r="P77" s="91"/>
      <c r="Q77" s="91">
        <f>Q75-Q76</f>
        <v>0</v>
      </c>
      <c r="R77" s="91">
        <f>Q77-R76</f>
        <v>0</v>
      </c>
      <c r="S77" s="96">
        <f>R77-S76</f>
        <v>0</v>
      </c>
      <c r="T77" s="109"/>
      <c r="U77" s="54"/>
      <c r="W77" s="36"/>
      <c r="X77" s="36"/>
      <c r="Y77" s="36"/>
      <c r="Z77" s="36"/>
      <c r="AA77" s="36"/>
      <c r="AB77" s="36"/>
      <c r="AC77" s="36"/>
      <c r="AD77" s="36"/>
    </row>
    <row r="78" spans="1:30" s="43" customFormat="1" ht="12" hidden="1" customHeight="1" x14ac:dyDescent="0.25">
      <c r="A78" s="127"/>
      <c r="B78" s="124"/>
      <c r="C78" s="34"/>
      <c r="F78" s="89"/>
      <c r="G78" s="225" t="str">
        <f>"Investment from "&amp;R53</f>
        <v>Investment from 2034</v>
      </c>
      <c r="H78" s="37"/>
      <c r="I78" s="40"/>
      <c r="J78" s="91"/>
      <c r="K78" s="91"/>
      <c r="L78" s="91"/>
      <c r="M78" s="91"/>
      <c r="N78" s="91"/>
      <c r="O78" s="91"/>
      <c r="P78" s="91"/>
      <c r="Q78" s="91"/>
      <c r="R78" s="91">
        <f>IF(R$53=$Q$11,SUM($J$19:$S$20),0)+R$22+R$24</f>
        <v>0</v>
      </c>
      <c r="S78" s="96"/>
      <c r="T78" s="109"/>
      <c r="U78" s="54"/>
      <c r="W78" s="36"/>
      <c r="X78" s="36"/>
      <c r="Y78" s="36"/>
      <c r="Z78" s="36"/>
      <c r="AA78" s="36"/>
      <c r="AB78" s="36"/>
      <c r="AC78" s="36"/>
      <c r="AD78" s="36"/>
    </row>
    <row r="79" spans="1:30" s="43" customFormat="1" ht="12" customHeight="1" x14ac:dyDescent="0.25">
      <c r="A79" s="127"/>
      <c r="B79" s="124"/>
      <c r="C79" s="34"/>
      <c r="F79" s="89"/>
      <c r="G79" s="351" t="str">
        <f>"Depreciation from "&amp;$Q$53</f>
        <v>Depreciation from 2033</v>
      </c>
      <c r="H79" s="351"/>
      <c r="I79" s="351"/>
      <c r="J79" s="91"/>
      <c r="K79" s="91"/>
      <c r="L79" s="91"/>
      <c r="M79" s="91"/>
      <c r="N79" s="91"/>
      <c r="O79" s="91"/>
      <c r="P79" s="91"/>
      <c r="Q79" s="91"/>
      <c r="R79" s="91">
        <f>R78/$J$28/2</f>
        <v>0</v>
      </c>
      <c r="S79" s="96">
        <f>IF($R$78/$J$28&lt;R80,$R$78/$J$28,R80)</f>
        <v>0</v>
      </c>
      <c r="T79" s="109"/>
      <c r="U79" s="54"/>
      <c r="W79" s="36"/>
      <c r="X79" s="36"/>
      <c r="Y79" s="36"/>
      <c r="Z79" s="36"/>
      <c r="AA79" s="36"/>
      <c r="AB79" s="36"/>
      <c r="AC79" s="36"/>
      <c r="AD79" s="36"/>
    </row>
    <row r="80" spans="1:30" s="43" customFormat="1" ht="12" hidden="1" customHeight="1" x14ac:dyDescent="0.25">
      <c r="A80" s="127"/>
      <c r="B80" s="124"/>
      <c r="C80" s="34"/>
      <c r="F80" s="89"/>
      <c r="G80" s="225" t="s">
        <v>135</v>
      </c>
      <c r="H80" s="37"/>
      <c r="I80" s="40"/>
      <c r="J80" s="91"/>
      <c r="K80" s="91"/>
      <c r="L80" s="91"/>
      <c r="M80" s="91"/>
      <c r="N80" s="91"/>
      <c r="O80" s="91"/>
      <c r="P80" s="91"/>
      <c r="Q80" s="91"/>
      <c r="R80" s="91">
        <f>R78-R79</f>
        <v>0</v>
      </c>
      <c r="S80" s="96">
        <f>R80-S79</f>
        <v>0</v>
      </c>
      <c r="T80" s="109"/>
      <c r="U80" s="54"/>
      <c r="W80" s="33"/>
      <c r="X80" s="33"/>
      <c r="Y80" s="33"/>
      <c r="Z80" s="33"/>
      <c r="AA80" s="33"/>
      <c r="AB80" s="33"/>
      <c r="AC80" s="33"/>
      <c r="AD80" s="33"/>
    </row>
    <row r="81" spans="1:30" s="43" customFormat="1" ht="12" hidden="1" customHeight="1" x14ac:dyDescent="0.25">
      <c r="A81" s="127"/>
      <c r="B81" s="124"/>
      <c r="C81" s="34"/>
      <c r="F81" s="89"/>
      <c r="G81" s="225" t="str">
        <f>"Investment from "&amp;S53</f>
        <v>Investment from 2035</v>
      </c>
      <c r="H81" s="37"/>
      <c r="I81" s="40"/>
      <c r="J81" s="91"/>
      <c r="K81" s="91"/>
      <c r="L81" s="91"/>
      <c r="M81" s="91"/>
      <c r="N81" s="91"/>
      <c r="O81" s="91"/>
      <c r="P81" s="91"/>
      <c r="Q81" s="91"/>
      <c r="R81" s="91"/>
      <c r="S81" s="91">
        <f>IF(S$53=$Q$11,SUM($J$19:$S$20),0)+S$22+S$24</f>
        <v>0</v>
      </c>
      <c r="T81" s="109"/>
      <c r="U81" s="54"/>
      <c r="W81" s="33"/>
      <c r="X81" s="33"/>
      <c r="Y81" s="33"/>
      <c r="Z81" s="33"/>
      <c r="AA81" s="33"/>
      <c r="AB81" s="33"/>
      <c r="AC81" s="33"/>
      <c r="AD81" s="33"/>
    </row>
    <row r="82" spans="1:30" s="43" customFormat="1" ht="12" customHeight="1" x14ac:dyDescent="0.25">
      <c r="A82" s="127"/>
      <c r="B82" s="124"/>
      <c r="C82" s="34"/>
      <c r="F82" s="89"/>
      <c r="G82" s="351" t="str">
        <f>"Depreciation from "&amp;$R$53</f>
        <v>Depreciation from 2034</v>
      </c>
      <c r="H82" s="351"/>
      <c r="I82" s="351"/>
      <c r="J82" s="91"/>
      <c r="K82" s="91"/>
      <c r="L82" s="91"/>
      <c r="M82" s="91"/>
      <c r="N82" s="91"/>
      <c r="O82" s="91"/>
      <c r="P82" s="91"/>
      <c r="Q82" s="91"/>
      <c r="R82" s="91"/>
      <c r="S82" s="96">
        <f>S81/$J$28/2</f>
        <v>0</v>
      </c>
      <c r="T82" s="109"/>
      <c r="U82" s="54"/>
      <c r="W82" s="33"/>
      <c r="X82" s="33"/>
      <c r="Y82" s="33"/>
      <c r="Z82" s="33"/>
      <c r="AA82" s="33"/>
      <c r="AB82" s="33"/>
      <c r="AC82" s="33"/>
      <c r="AD82" s="33"/>
    </row>
    <row r="83" spans="1:30" s="43" customFormat="1" ht="12" hidden="1" customHeight="1" x14ac:dyDescent="0.25">
      <c r="A83" s="127"/>
      <c r="B83" s="124"/>
      <c r="C83" s="34"/>
      <c r="F83" s="89"/>
      <c r="G83" s="225" t="s">
        <v>135</v>
      </c>
      <c r="H83" s="33"/>
      <c r="J83" s="91"/>
      <c r="K83" s="91"/>
      <c r="L83" s="91"/>
      <c r="M83" s="91"/>
      <c r="N83" s="91"/>
      <c r="O83" s="91"/>
      <c r="P83" s="91"/>
      <c r="Q83" s="91"/>
      <c r="R83" s="91"/>
      <c r="S83" s="91">
        <f>S81-S82</f>
        <v>0</v>
      </c>
      <c r="T83" s="109"/>
      <c r="U83" s="54"/>
      <c r="W83" s="33"/>
      <c r="X83" s="33"/>
      <c r="Y83" s="33"/>
      <c r="Z83" s="33"/>
      <c r="AA83" s="33"/>
      <c r="AB83" s="33"/>
      <c r="AC83" s="33"/>
      <c r="AD83" s="33"/>
    </row>
    <row r="84" spans="1:30" s="43" customFormat="1" ht="12" customHeight="1" x14ac:dyDescent="0.25">
      <c r="A84" s="127"/>
      <c r="B84" s="124"/>
      <c r="C84" s="34"/>
      <c r="F84" s="161"/>
      <c r="G84" s="352" t="s">
        <v>120</v>
      </c>
      <c r="H84" s="352"/>
      <c r="I84" s="352"/>
      <c r="J84" s="283">
        <f t="shared" ref="J84:S84" si="13">J55+J58+J61+J64+J67+J70+J73+J76+J79+J82</f>
        <v>8000</v>
      </c>
      <c r="K84" s="284">
        <f t="shared" si="13"/>
        <v>56000</v>
      </c>
      <c r="L84" s="283">
        <f t="shared" si="13"/>
        <v>96000</v>
      </c>
      <c r="M84" s="283">
        <f t="shared" si="13"/>
        <v>96000</v>
      </c>
      <c r="N84" s="283">
        <f t="shared" si="13"/>
        <v>96000</v>
      </c>
      <c r="O84" s="283">
        <f t="shared" si="13"/>
        <v>88000</v>
      </c>
      <c r="P84" s="283">
        <f t="shared" si="13"/>
        <v>40000</v>
      </c>
      <c r="Q84" s="283">
        <f t="shared" si="13"/>
        <v>0</v>
      </c>
      <c r="R84" s="283">
        <f t="shared" si="13"/>
        <v>0</v>
      </c>
      <c r="S84" s="283">
        <f t="shared" si="13"/>
        <v>0</v>
      </c>
      <c r="T84" s="109"/>
      <c r="U84" s="54"/>
      <c r="W84" s="33"/>
      <c r="X84" s="33"/>
      <c r="Y84" s="33"/>
      <c r="Z84" s="33"/>
      <c r="AA84" s="33"/>
      <c r="AB84" s="33"/>
      <c r="AC84" s="33"/>
      <c r="AD84" s="33"/>
    </row>
    <row r="85" spans="1:30" s="43" customFormat="1" ht="12" customHeight="1" x14ac:dyDescent="0.25">
      <c r="A85" s="127"/>
      <c r="B85" s="124"/>
      <c r="C85" s="34"/>
      <c r="E85" s="49"/>
      <c r="F85" s="49"/>
      <c r="G85" s="39"/>
      <c r="H85" s="39"/>
      <c r="I85" s="36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109"/>
      <c r="U85" s="54"/>
      <c r="W85" s="33"/>
      <c r="X85" s="33"/>
      <c r="Y85" s="33"/>
      <c r="Z85" s="33"/>
      <c r="AA85" s="33"/>
      <c r="AB85" s="33"/>
      <c r="AC85" s="33"/>
      <c r="AD85" s="33"/>
    </row>
    <row r="86" spans="1:30" s="43" customFormat="1" ht="12" customHeight="1" x14ac:dyDescent="0.25">
      <c r="A86" s="127"/>
      <c r="B86" s="124"/>
      <c r="C86" s="118" t="s">
        <v>110</v>
      </c>
      <c r="D86" s="119"/>
      <c r="E86" s="119"/>
      <c r="F86" s="119"/>
      <c r="G86" s="119"/>
      <c r="H86" s="119"/>
      <c r="I86" s="119" t="s">
        <v>136</v>
      </c>
      <c r="J86" s="286">
        <f t="shared" ref="J86:S86" si="14">J84+J50</f>
        <v>108000</v>
      </c>
      <c r="K86" s="286">
        <f t="shared" si="14"/>
        <v>131000</v>
      </c>
      <c r="L86" s="286">
        <f t="shared" si="14"/>
        <v>171000</v>
      </c>
      <c r="M86" s="286">
        <f t="shared" si="14"/>
        <v>171000</v>
      </c>
      <c r="N86" s="286">
        <f t="shared" si="14"/>
        <v>171000</v>
      </c>
      <c r="O86" s="286">
        <f t="shared" si="14"/>
        <v>163000</v>
      </c>
      <c r="P86" s="286">
        <f t="shared" si="14"/>
        <v>115000</v>
      </c>
      <c r="Q86" s="286">
        <f t="shared" si="14"/>
        <v>75000</v>
      </c>
      <c r="R86" s="286">
        <f t="shared" si="14"/>
        <v>75000</v>
      </c>
      <c r="S86" s="286">
        <f t="shared" si="14"/>
        <v>75000</v>
      </c>
      <c r="T86" s="114"/>
      <c r="U86" s="54"/>
      <c r="W86" s="33"/>
      <c r="X86" s="33"/>
      <c r="Y86" s="33"/>
      <c r="Z86" s="33"/>
      <c r="AA86" s="33"/>
      <c r="AB86" s="33"/>
      <c r="AC86" s="33"/>
      <c r="AD86" s="33"/>
    </row>
    <row r="87" spans="1:30" ht="12" customHeight="1" x14ac:dyDescent="0.25">
      <c r="A87" s="127"/>
      <c r="B87" s="34"/>
      <c r="C87" s="115"/>
      <c r="D87" s="105"/>
      <c r="E87" s="105"/>
      <c r="F87" s="105"/>
      <c r="G87" s="105"/>
      <c r="H87" s="105"/>
      <c r="I87" s="106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16"/>
      <c r="U87" s="54"/>
      <c r="W87" s="33"/>
    </row>
    <row r="88" spans="1:30" ht="12" customHeight="1" x14ac:dyDescent="0.25">
      <c r="A88" s="54"/>
      <c r="B88" s="143"/>
      <c r="C88" s="54"/>
      <c r="D88" s="144"/>
      <c r="E88" s="144"/>
      <c r="F88" s="144"/>
      <c r="G88" s="144"/>
      <c r="H88" s="144"/>
      <c r="I88" s="5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54"/>
      <c r="W88" s="33"/>
    </row>
    <row r="89" spans="1:30" s="36" customFormat="1" ht="17.399999999999999" customHeight="1" x14ac:dyDescent="0.35">
      <c r="A89" s="54"/>
      <c r="B89" s="107"/>
      <c r="C89" s="125" t="s">
        <v>137</v>
      </c>
      <c r="D89" s="120"/>
      <c r="E89" s="121"/>
      <c r="F89" s="121"/>
      <c r="G89" s="125"/>
      <c r="H89" s="125"/>
      <c r="I89" s="136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9"/>
      <c r="U89" s="54"/>
      <c r="W89" s="33"/>
      <c r="X89" s="33"/>
      <c r="Y89" s="33"/>
      <c r="Z89" s="33"/>
      <c r="AA89" s="33"/>
      <c r="AB89" s="33"/>
      <c r="AC89" s="33"/>
      <c r="AD89" s="33"/>
    </row>
    <row r="90" spans="1:30" s="36" customFormat="1" ht="12" customHeight="1" x14ac:dyDescent="0.25">
      <c r="A90" s="54"/>
      <c r="B90" s="138"/>
      <c r="C90" s="126"/>
      <c r="D90" s="35"/>
      <c r="E90" s="35"/>
      <c r="F90" s="33"/>
      <c r="G90" s="33"/>
      <c r="H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09"/>
      <c r="U90" s="54"/>
      <c r="W90" s="33"/>
      <c r="X90" s="33"/>
      <c r="Y90" s="33"/>
      <c r="Z90" s="33"/>
      <c r="AA90" s="33"/>
      <c r="AB90" s="33"/>
      <c r="AC90" s="33"/>
      <c r="AD90" s="33"/>
    </row>
    <row r="91" spans="1:30" ht="12" customHeight="1" x14ac:dyDescent="0.25">
      <c r="A91" s="54"/>
      <c r="B91" s="138"/>
      <c r="C91" s="34"/>
      <c r="G91" s="86" t="s">
        <v>2</v>
      </c>
      <c r="H91" s="87" t="s">
        <v>111</v>
      </c>
      <c r="I91" s="88" t="s">
        <v>42</v>
      </c>
      <c r="J91" s="88">
        <f t="shared" ref="J91:S91" si="15">J31</f>
        <v>2026</v>
      </c>
      <c r="K91" s="88">
        <f t="shared" si="15"/>
        <v>2027</v>
      </c>
      <c r="L91" s="88">
        <f t="shared" si="15"/>
        <v>2028</v>
      </c>
      <c r="M91" s="88">
        <f t="shared" si="15"/>
        <v>2029</v>
      </c>
      <c r="N91" s="88">
        <f t="shared" si="15"/>
        <v>2030</v>
      </c>
      <c r="O91" s="88">
        <f t="shared" si="15"/>
        <v>2031</v>
      </c>
      <c r="P91" s="88">
        <f t="shared" si="15"/>
        <v>2032</v>
      </c>
      <c r="Q91" s="88">
        <f t="shared" si="15"/>
        <v>2033</v>
      </c>
      <c r="R91" s="88">
        <f t="shared" si="15"/>
        <v>2034</v>
      </c>
      <c r="S91" s="88">
        <f t="shared" si="15"/>
        <v>2035</v>
      </c>
      <c r="T91" s="140"/>
      <c r="U91" s="54"/>
      <c r="W91" s="33"/>
    </row>
    <row r="92" spans="1:30" ht="12" customHeight="1" x14ac:dyDescent="0.25">
      <c r="A92" s="54"/>
      <c r="B92" s="138"/>
      <c r="C92" s="34"/>
      <c r="D92" s="65" t="s">
        <v>112</v>
      </c>
      <c r="E92" s="65" t="s">
        <v>56</v>
      </c>
      <c r="F92" s="64"/>
      <c r="G92" s="65"/>
      <c r="H92" s="65"/>
      <c r="I92" s="64"/>
      <c r="J92" s="66"/>
      <c r="K92" s="66"/>
      <c r="L92" s="66"/>
      <c r="M92" s="66"/>
      <c r="N92" s="66"/>
      <c r="O92" s="66"/>
      <c r="P92" s="66"/>
      <c r="Q92" s="66"/>
      <c r="R92" s="66"/>
      <c r="S92" s="93"/>
      <c r="T92" s="140"/>
      <c r="U92" s="54"/>
      <c r="W92" s="33"/>
    </row>
    <row r="93" spans="1:30" ht="12" customHeight="1" x14ac:dyDescent="0.25">
      <c r="A93" s="54"/>
      <c r="B93" s="138"/>
      <c r="C93" s="34"/>
      <c r="D93" s="35"/>
      <c r="E93" s="41"/>
      <c r="F93" s="89"/>
      <c r="G93" s="345" t="s">
        <v>56</v>
      </c>
      <c r="H93" s="345"/>
      <c r="I93" s="345"/>
      <c r="J93" s="71"/>
      <c r="K93" s="71"/>
      <c r="L93" s="71"/>
      <c r="M93" s="71"/>
      <c r="N93" s="68"/>
      <c r="O93" s="68"/>
      <c r="P93" s="68"/>
      <c r="Q93" s="68"/>
      <c r="R93" s="68"/>
      <c r="S93" s="94"/>
      <c r="T93" s="112"/>
      <c r="U93" s="54"/>
      <c r="W93" s="33"/>
    </row>
    <row r="94" spans="1:30" ht="12" customHeight="1" x14ac:dyDescent="0.25">
      <c r="A94" s="54"/>
      <c r="B94" s="138"/>
      <c r="C94" s="34"/>
      <c r="D94" s="35"/>
      <c r="E94" s="41"/>
      <c r="F94" s="89"/>
      <c r="G94" s="344"/>
      <c r="H94" s="344"/>
      <c r="I94" s="83" t="s">
        <v>217</v>
      </c>
      <c r="J94" s="282">
        <v>0</v>
      </c>
      <c r="K94" s="282">
        <v>200000</v>
      </c>
      <c r="L94" s="282">
        <v>400000</v>
      </c>
      <c r="M94" s="282">
        <v>600000</v>
      </c>
      <c r="N94" s="282">
        <v>700000</v>
      </c>
      <c r="O94" s="282">
        <v>700000</v>
      </c>
      <c r="P94" s="282">
        <v>700000</v>
      </c>
      <c r="Q94" s="282">
        <v>700000</v>
      </c>
      <c r="R94" s="282">
        <v>700000</v>
      </c>
      <c r="S94" s="282">
        <v>700000</v>
      </c>
      <c r="T94" s="141"/>
      <c r="U94" s="54"/>
      <c r="W94" s="33"/>
    </row>
    <row r="95" spans="1:30" ht="12" customHeight="1" x14ac:dyDescent="0.25">
      <c r="A95" s="54"/>
      <c r="B95" s="138"/>
      <c r="C95" s="34"/>
      <c r="E95" s="41"/>
      <c r="F95" s="89"/>
      <c r="G95" s="344"/>
      <c r="H95" s="344"/>
      <c r="I95" s="83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141"/>
      <c r="U95" s="54"/>
      <c r="W95" s="33"/>
    </row>
    <row r="96" spans="1:30" ht="12" customHeight="1" x14ac:dyDescent="0.25">
      <c r="A96" s="54"/>
      <c r="B96" s="138"/>
      <c r="C96" s="34"/>
      <c r="D96" s="35"/>
      <c r="E96" s="41"/>
      <c r="F96" s="89"/>
      <c r="G96" s="344"/>
      <c r="H96" s="344"/>
      <c r="I96" s="83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141"/>
      <c r="U96" s="54"/>
      <c r="W96" s="33"/>
    </row>
    <row r="97" spans="1:23" ht="12" customHeight="1" x14ac:dyDescent="0.25">
      <c r="A97" s="54"/>
      <c r="B97" s="138"/>
      <c r="C97" s="34"/>
      <c r="D97" s="35"/>
      <c r="E97" s="41"/>
      <c r="F97" s="89"/>
      <c r="G97" s="344"/>
      <c r="H97" s="344"/>
      <c r="I97" s="83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141"/>
      <c r="U97" s="54"/>
      <c r="W97" s="33"/>
    </row>
    <row r="98" spans="1:23" ht="12" customHeight="1" x14ac:dyDescent="0.25">
      <c r="A98" s="54"/>
      <c r="B98" s="138"/>
      <c r="C98" s="34"/>
      <c r="E98" s="41"/>
      <c r="F98" s="89"/>
      <c r="G98" s="344"/>
      <c r="H98" s="344"/>
      <c r="I98" s="83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141"/>
      <c r="U98" s="54"/>
      <c r="W98" s="33"/>
    </row>
    <row r="99" spans="1:23" ht="12" customHeight="1" x14ac:dyDescent="0.25">
      <c r="A99" s="54"/>
      <c r="B99" s="138"/>
      <c r="C99" s="34"/>
      <c r="D99" s="35"/>
      <c r="E99" s="41"/>
      <c r="F99" s="89"/>
      <c r="G99" s="344"/>
      <c r="H99" s="344"/>
      <c r="I99" s="83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142"/>
      <c r="U99" s="54"/>
      <c r="W99" s="33"/>
    </row>
    <row r="100" spans="1:23" ht="12" customHeight="1" x14ac:dyDescent="0.25">
      <c r="A100" s="54"/>
      <c r="B100" s="138"/>
      <c r="C100" s="34"/>
      <c r="D100" s="35"/>
      <c r="F100" s="89"/>
      <c r="G100" s="73"/>
      <c r="H100" s="73"/>
      <c r="I100" s="73"/>
      <c r="J100" s="74"/>
      <c r="K100" s="74"/>
      <c r="L100" s="74"/>
      <c r="M100" s="74"/>
      <c r="N100" s="74"/>
      <c r="O100" s="74"/>
      <c r="P100" s="75"/>
      <c r="Q100" s="75"/>
      <c r="R100" s="75"/>
      <c r="S100" s="76"/>
      <c r="T100" s="109"/>
      <c r="U100" s="54"/>
      <c r="W100" s="33"/>
    </row>
    <row r="101" spans="1:23" ht="12" customHeight="1" x14ac:dyDescent="0.25">
      <c r="A101" s="54"/>
      <c r="B101" s="138"/>
      <c r="C101" s="34"/>
      <c r="F101" s="161"/>
      <c r="G101" s="352" t="s">
        <v>120</v>
      </c>
      <c r="H101" s="352"/>
      <c r="I101" s="353"/>
      <c r="J101" s="283">
        <f t="shared" ref="J101:S101" si="16">SUM(J94:J99)</f>
        <v>0</v>
      </c>
      <c r="K101" s="283">
        <f t="shared" si="16"/>
        <v>200000</v>
      </c>
      <c r="L101" s="283">
        <f t="shared" si="16"/>
        <v>400000</v>
      </c>
      <c r="M101" s="283">
        <f t="shared" si="16"/>
        <v>600000</v>
      </c>
      <c r="N101" s="283">
        <f t="shared" si="16"/>
        <v>700000</v>
      </c>
      <c r="O101" s="283">
        <f t="shared" si="16"/>
        <v>700000</v>
      </c>
      <c r="P101" s="283">
        <f t="shared" si="16"/>
        <v>700000</v>
      </c>
      <c r="Q101" s="283">
        <f t="shared" si="16"/>
        <v>700000</v>
      </c>
      <c r="R101" s="283">
        <f t="shared" si="16"/>
        <v>700000</v>
      </c>
      <c r="S101" s="283">
        <f t="shared" si="16"/>
        <v>700000</v>
      </c>
      <c r="T101" s="109"/>
      <c r="U101" s="54"/>
      <c r="W101" s="33"/>
    </row>
    <row r="102" spans="1:23" ht="12" customHeight="1" x14ac:dyDescent="0.25">
      <c r="A102" s="54"/>
      <c r="B102" s="138"/>
      <c r="C102" s="34"/>
      <c r="D102" s="35"/>
      <c r="G102" s="50"/>
      <c r="H102" s="50"/>
      <c r="J102" s="47"/>
      <c r="K102" s="47"/>
      <c r="L102" s="47"/>
      <c r="M102" s="47"/>
      <c r="N102" s="47"/>
      <c r="O102" s="47"/>
      <c r="P102" s="47"/>
      <c r="Q102" s="47"/>
      <c r="R102" s="47"/>
      <c r="S102" s="104"/>
      <c r="T102" s="109"/>
      <c r="U102" s="54"/>
      <c r="W102" s="33"/>
    </row>
    <row r="103" spans="1:23" ht="12" customHeight="1" x14ac:dyDescent="0.25">
      <c r="A103" s="54"/>
      <c r="B103" s="138"/>
      <c r="C103" s="34"/>
      <c r="G103" s="86" t="s">
        <v>2</v>
      </c>
      <c r="H103" s="87" t="s">
        <v>111</v>
      </c>
      <c r="I103" s="88" t="s">
        <v>42</v>
      </c>
      <c r="J103" s="88">
        <f t="shared" ref="J103:S103" si="17">J31</f>
        <v>2026</v>
      </c>
      <c r="K103" s="88">
        <f t="shared" si="17"/>
        <v>2027</v>
      </c>
      <c r="L103" s="88">
        <f t="shared" si="17"/>
        <v>2028</v>
      </c>
      <c r="M103" s="88">
        <f t="shared" si="17"/>
        <v>2029</v>
      </c>
      <c r="N103" s="88">
        <f t="shared" si="17"/>
        <v>2030</v>
      </c>
      <c r="O103" s="88">
        <f t="shared" si="17"/>
        <v>2031</v>
      </c>
      <c r="P103" s="88">
        <f t="shared" si="17"/>
        <v>2032</v>
      </c>
      <c r="Q103" s="88">
        <f t="shared" si="17"/>
        <v>2033</v>
      </c>
      <c r="R103" s="88">
        <f t="shared" si="17"/>
        <v>2034</v>
      </c>
      <c r="S103" s="88">
        <f t="shared" si="17"/>
        <v>2035</v>
      </c>
      <c r="T103" s="109"/>
      <c r="U103" s="54"/>
      <c r="W103" s="33"/>
    </row>
    <row r="104" spans="1:23" ht="12" customHeight="1" x14ac:dyDescent="0.25">
      <c r="A104" s="54"/>
      <c r="B104" s="138"/>
      <c r="C104" s="34"/>
      <c r="D104" s="65" t="s">
        <v>123</v>
      </c>
      <c r="E104" s="65" t="s">
        <v>138</v>
      </c>
      <c r="F104" s="64"/>
      <c r="G104" s="65"/>
      <c r="H104" s="65"/>
      <c r="I104" s="64"/>
      <c r="J104" s="66"/>
      <c r="K104" s="66"/>
      <c r="L104" s="66"/>
      <c r="M104" s="66"/>
      <c r="N104" s="66"/>
      <c r="O104" s="66"/>
      <c r="P104" s="66"/>
      <c r="Q104" s="66"/>
      <c r="R104" s="66"/>
      <c r="S104" s="93"/>
      <c r="T104" s="109"/>
      <c r="U104" s="54"/>
      <c r="W104" s="33"/>
    </row>
    <row r="105" spans="1:23" ht="12" customHeight="1" x14ac:dyDescent="0.25">
      <c r="A105" s="54"/>
      <c r="B105" s="138"/>
      <c r="C105" s="34"/>
      <c r="D105" s="35"/>
      <c r="E105" s="41"/>
      <c r="F105" s="89"/>
      <c r="G105" s="345" t="s">
        <v>57</v>
      </c>
      <c r="H105" s="345"/>
      <c r="I105" s="345"/>
      <c r="J105" s="71"/>
      <c r="K105" s="71"/>
      <c r="L105" s="71"/>
      <c r="M105" s="71"/>
      <c r="N105" s="68"/>
      <c r="O105" s="68"/>
      <c r="P105" s="68"/>
      <c r="Q105" s="68"/>
      <c r="R105" s="68"/>
      <c r="S105" s="94"/>
      <c r="T105" s="141"/>
      <c r="U105" s="54"/>
      <c r="W105" s="33"/>
    </row>
    <row r="106" spans="1:23" ht="12" customHeight="1" x14ac:dyDescent="0.25">
      <c r="A106" s="54"/>
      <c r="B106" s="138"/>
      <c r="C106" s="34"/>
      <c r="D106" s="35"/>
      <c r="E106" s="41"/>
      <c r="F106" s="89"/>
      <c r="G106" s="344"/>
      <c r="H106" s="344"/>
      <c r="I106" s="83" t="s">
        <v>218</v>
      </c>
      <c r="J106" s="282">
        <v>0</v>
      </c>
      <c r="K106" s="282">
        <v>30000</v>
      </c>
      <c r="L106" s="282">
        <v>60000</v>
      </c>
      <c r="M106" s="282">
        <v>80000</v>
      </c>
      <c r="N106" s="282">
        <v>80000</v>
      </c>
      <c r="O106" s="282">
        <v>80000</v>
      </c>
      <c r="P106" s="282">
        <v>80000</v>
      </c>
      <c r="Q106" s="282">
        <v>80000</v>
      </c>
      <c r="R106" s="282">
        <v>80000</v>
      </c>
      <c r="S106" s="282">
        <v>80000</v>
      </c>
      <c r="T106" s="141"/>
      <c r="U106" s="54"/>
      <c r="W106" s="33"/>
    </row>
    <row r="107" spans="1:23" ht="12" customHeight="1" x14ac:dyDescent="0.25">
      <c r="A107" s="54"/>
      <c r="B107" s="138"/>
      <c r="C107" s="34"/>
      <c r="E107" s="41"/>
      <c r="F107" s="89"/>
      <c r="G107" s="344"/>
      <c r="H107" s="344"/>
      <c r="I107" s="83" t="s">
        <v>219</v>
      </c>
      <c r="J107" s="282">
        <v>0</v>
      </c>
      <c r="K107" s="282">
        <v>20000</v>
      </c>
      <c r="L107" s="282">
        <v>40000</v>
      </c>
      <c r="M107" s="282">
        <v>50000</v>
      </c>
      <c r="N107" s="282">
        <v>50000</v>
      </c>
      <c r="O107" s="282">
        <v>50000</v>
      </c>
      <c r="P107" s="282">
        <v>50000</v>
      </c>
      <c r="Q107" s="282">
        <v>50000</v>
      </c>
      <c r="R107" s="282">
        <v>50000</v>
      </c>
      <c r="S107" s="282">
        <v>50000</v>
      </c>
      <c r="T107" s="141"/>
      <c r="U107" s="54"/>
      <c r="W107" s="33"/>
    </row>
    <row r="108" spans="1:23" ht="12" customHeight="1" x14ac:dyDescent="0.25">
      <c r="A108" s="54"/>
      <c r="B108" s="138"/>
      <c r="C108" s="34"/>
      <c r="D108" s="35"/>
      <c r="E108" s="41"/>
      <c r="F108" s="89"/>
      <c r="G108" s="344"/>
      <c r="H108" s="344"/>
      <c r="I108" s="83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141"/>
      <c r="U108" s="54"/>
      <c r="W108" s="33"/>
    </row>
    <row r="109" spans="1:23" ht="12" customHeight="1" x14ac:dyDescent="0.25">
      <c r="A109" s="54"/>
      <c r="B109" s="138"/>
      <c r="C109" s="34"/>
      <c r="D109" s="35"/>
      <c r="E109" s="41"/>
      <c r="F109" s="89"/>
      <c r="G109" s="344"/>
      <c r="H109" s="344"/>
      <c r="I109" s="83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141"/>
      <c r="U109" s="54"/>
      <c r="W109" s="33"/>
    </row>
    <row r="110" spans="1:23" ht="12" customHeight="1" x14ac:dyDescent="0.25">
      <c r="A110" s="54"/>
      <c r="B110" s="138"/>
      <c r="C110" s="34"/>
      <c r="E110" s="41"/>
      <c r="F110" s="89"/>
      <c r="G110" s="344"/>
      <c r="H110" s="344"/>
      <c r="I110" s="83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141"/>
      <c r="U110" s="54"/>
      <c r="W110" s="33"/>
    </row>
    <row r="111" spans="1:23" ht="12" customHeight="1" x14ac:dyDescent="0.25">
      <c r="A111" s="54"/>
      <c r="B111" s="138"/>
      <c r="C111" s="34"/>
      <c r="D111" s="35"/>
      <c r="E111" s="41"/>
      <c r="F111" s="89"/>
      <c r="G111" s="344"/>
      <c r="H111" s="344"/>
      <c r="I111" s="83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142"/>
      <c r="U111" s="54"/>
      <c r="W111" s="33"/>
    </row>
    <row r="112" spans="1:23" ht="12" customHeight="1" x14ac:dyDescent="0.25">
      <c r="A112" s="54"/>
      <c r="B112" s="138"/>
      <c r="C112" s="34"/>
      <c r="D112" s="35"/>
      <c r="E112" s="41"/>
      <c r="F112" s="89"/>
      <c r="G112" s="73"/>
      <c r="H112" s="73"/>
      <c r="I112" s="73"/>
      <c r="J112" s="74"/>
      <c r="K112" s="74"/>
      <c r="L112" s="74"/>
      <c r="M112" s="74"/>
      <c r="N112" s="74"/>
      <c r="O112" s="74"/>
      <c r="P112" s="75"/>
      <c r="Q112" s="75"/>
      <c r="R112" s="75"/>
      <c r="S112" s="76"/>
      <c r="T112" s="109"/>
      <c r="U112" s="54"/>
      <c r="W112" s="33"/>
    </row>
    <row r="113" spans="1:30" ht="12" customHeight="1" x14ac:dyDescent="0.25">
      <c r="A113" s="54"/>
      <c r="B113" s="138"/>
      <c r="C113" s="34"/>
      <c r="F113" s="161"/>
      <c r="G113" s="352" t="s">
        <v>120</v>
      </c>
      <c r="H113" s="352"/>
      <c r="I113" s="353"/>
      <c r="J113" s="283">
        <f t="shared" ref="J113:S113" si="18">SUM(J106:J111)</f>
        <v>0</v>
      </c>
      <c r="K113" s="283">
        <f t="shared" si="18"/>
        <v>50000</v>
      </c>
      <c r="L113" s="283">
        <f>SUM(L106:L111)</f>
        <v>100000</v>
      </c>
      <c r="M113" s="283">
        <f t="shared" si="18"/>
        <v>130000</v>
      </c>
      <c r="N113" s="283">
        <f t="shared" si="18"/>
        <v>130000</v>
      </c>
      <c r="O113" s="283">
        <f t="shared" si="18"/>
        <v>130000</v>
      </c>
      <c r="P113" s="283">
        <f t="shared" si="18"/>
        <v>130000</v>
      </c>
      <c r="Q113" s="283">
        <f t="shared" si="18"/>
        <v>130000</v>
      </c>
      <c r="R113" s="283">
        <f t="shared" si="18"/>
        <v>130000</v>
      </c>
      <c r="S113" s="283">
        <f t="shared" si="18"/>
        <v>130000</v>
      </c>
      <c r="T113" s="109"/>
      <c r="U113" s="54"/>
      <c r="W113" s="33"/>
    </row>
    <row r="114" spans="1:30" ht="13.2" customHeight="1" x14ac:dyDescent="0.25">
      <c r="A114" s="54"/>
      <c r="B114" s="138"/>
      <c r="C114" s="34"/>
      <c r="D114" s="35"/>
      <c r="J114" s="42"/>
      <c r="K114" s="42"/>
      <c r="L114" s="42"/>
      <c r="M114" s="42"/>
      <c r="S114" s="103"/>
      <c r="T114" s="109"/>
      <c r="U114" s="54"/>
      <c r="W114" s="33"/>
    </row>
    <row r="115" spans="1:30" ht="12" customHeight="1" x14ac:dyDescent="0.25">
      <c r="A115" s="54"/>
      <c r="B115" s="138"/>
      <c r="C115" s="34"/>
      <c r="D115" s="65" t="s">
        <v>133</v>
      </c>
      <c r="E115" s="65" t="s">
        <v>139</v>
      </c>
      <c r="F115" s="64"/>
      <c r="G115" s="65"/>
      <c r="H115" s="65"/>
      <c r="I115" s="64"/>
      <c r="J115" s="38"/>
      <c r="K115" s="38"/>
      <c r="L115" s="38"/>
      <c r="M115" s="38"/>
      <c r="N115" s="38"/>
      <c r="O115" s="38"/>
      <c r="P115" s="38"/>
      <c r="Q115" s="38"/>
      <c r="R115" s="38"/>
      <c r="S115" s="101"/>
      <c r="T115" s="109"/>
      <c r="U115" s="54"/>
      <c r="W115" s="33"/>
    </row>
    <row r="116" spans="1:30" ht="12" customHeight="1" x14ac:dyDescent="0.25">
      <c r="A116" s="54"/>
      <c r="B116" s="138"/>
      <c r="C116" s="34"/>
      <c r="D116" s="35"/>
      <c r="E116" s="41"/>
      <c r="F116" s="89"/>
      <c r="G116" s="358" t="s">
        <v>58</v>
      </c>
      <c r="H116" s="358"/>
      <c r="I116" s="358"/>
      <c r="J116" s="66"/>
      <c r="K116" s="66"/>
      <c r="L116" s="66"/>
      <c r="M116" s="66"/>
      <c r="N116" s="66"/>
      <c r="O116" s="66"/>
      <c r="P116" s="66"/>
      <c r="Q116" s="66"/>
      <c r="R116" s="66"/>
      <c r="S116" s="93"/>
      <c r="T116" s="142"/>
      <c r="U116" s="54"/>
      <c r="W116" s="33"/>
    </row>
    <row r="117" spans="1:30" ht="74.400000000000006" customHeight="1" x14ac:dyDescent="0.25">
      <c r="A117" s="54"/>
      <c r="B117" s="138"/>
      <c r="C117" s="34"/>
      <c r="D117" s="35"/>
      <c r="E117" s="41"/>
      <c r="F117" s="89"/>
      <c r="G117" s="359" t="s">
        <v>220</v>
      </c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1"/>
      <c r="T117" s="142"/>
      <c r="U117" s="54"/>
      <c r="W117" s="33"/>
    </row>
    <row r="118" spans="1:30" ht="12" customHeight="1" x14ac:dyDescent="0.25">
      <c r="A118" s="54"/>
      <c r="B118" s="138"/>
      <c r="C118" s="34"/>
      <c r="T118" s="134"/>
      <c r="U118" s="54"/>
      <c r="W118" s="33"/>
    </row>
    <row r="119" spans="1:30" ht="12" customHeight="1" x14ac:dyDescent="0.25">
      <c r="A119" s="54"/>
      <c r="B119" s="138"/>
      <c r="C119" s="119" t="s">
        <v>140</v>
      </c>
      <c r="D119" s="119"/>
      <c r="E119" s="119"/>
      <c r="F119" s="119"/>
      <c r="G119" s="119"/>
      <c r="H119" s="119"/>
      <c r="I119" s="135"/>
      <c r="J119" s="286">
        <f t="shared" ref="J119:S119" si="19">J101+J113</f>
        <v>0</v>
      </c>
      <c r="K119" s="286">
        <f t="shared" si="19"/>
        <v>250000</v>
      </c>
      <c r="L119" s="286">
        <f t="shared" si="19"/>
        <v>500000</v>
      </c>
      <c r="M119" s="286">
        <f t="shared" si="19"/>
        <v>730000</v>
      </c>
      <c r="N119" s="286">
        <f t="shared" si="19"/>
        <v>830000</v>
      </c>
      <c r="O119" s="286">
        <f t="shared" si="19"/>
        <v>830000</v>
      </c>
      <c r="P119" s="286">
        <f t="shared" si="19"/>
        <v>830000</v>
      </c>
      <c r="Q119" s="286">
        <f t="shared" si="19"/>
        <v>830000</v>
      </c>
      <c r="R119" s="286">
        <f t="shared" si="19"/>
        <v>830000</v>
      </c>
      <c r="S119" s="286">
        <f t="shared" si="19"/>
        <v>830000</v>
      </c>
      <c r="T119" s="134"/>
      <c r="U119" s="54"/>
      <c r="W119" s="33"/>
    </row>
    <row r="120" spans="1:30" ht="12" customHeight="1" x14ac:dyDescent="0.25">
      <c r="A120" s="54"/>
      <c r="B120" s="115"/>
      <c r="C120" s="129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4"/>
      <c r="U120" s="54"/>
      <c r="V120" s="49"/>
      <c r="W120" s="33"/>
    </row>
    <row r="121" spans="1:30" s="36" customFormat="1" ht="12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143"/>
      <c r="U121" s="54"/>
      <c r="V121" s="49"/>
      <c r="W121" s="33"/>
      <c r="X121" s="33"/>
      <c r="Y121" s="33"/>
      <c r="Z121" s="33"/>
      <c r="AA121" s="33"/>
      <c r="AB121" s="33"/>
      <c r="AC121" s="33"/>
      <c r="AD121" s="33"/>
    </row>
    <row r="122" spans="1:30" ht="15.6" customHeight="1" x14ac:dyDescent="0.35">
      <c r="A122" s="54"/>
      <c r="B122" s="107"/>
      <c r="C122" s="136" t="s">
        <v>141</v>
      </c>
      <c r="D122" s="117"/>
      <c r="E122" s="97"/>
      <c r="F122" s="97"/>
      <c r="G122" s="136"/>
      <c r="H122" s="13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00"/>
      <c r="U122" s="54"/>
      <c r="V122" s="49"/>
      <c r="W122" s="33"/>
    </row>
    <row r="123" spans="1:30" ht="12" customHeight="1" x14ac:dyDescent="0.25">
      <c r="A123" s="54"/>
      <c r="B123" s="108"/>
      <c r="C123" s="146"/>
      <c r="D123" s="147"/>
      <c r="E123" s="148"/>
      <c r="F123" s="148"/>
      <c r="G123" s="148"/>
      <c r="H123" s="148"/>
      <c r="T123" s="134"/>
      <c r="U123" s="54"/>
      <c r="V123" s="49"/>
      <c r="W123" s="33"/>
    </row>
    <row r="124" spans="1:30" ht="12" customHeight="1" x14ac:dyDescent="0.25">
      <c r="A124" s="54"/>
      <c r="B124" s="108"/>
      <c r="C124" s="149"/>
      <c r="E124" s="48"/>
      <c r="F124" s="48"/>
      <c r="G124" s="92"/>
      <c r="H124" s="159"/>
      <c r="I124" s="233" t="s">
        <v>120</v>
      </c>
      <c r="J124" s="158">
        <f t="shared" ref="J124:S124" si="20">+J103</f>
        <v>2026</v>
      </c>
      <c r="K124" s="88">
        <f t="shared" si="20"/>
        <v>2027</v>
      </c>
      <c r="L124" s="88">
        <f t="shared" si="20"/>
        <v>2028</v>
      </c>
      <c r="M124" s="88">
        <f t="shared" si="20"/>
        <v>2029</v>
      </c>
      <c r="N124" s="88">
        <f t="shared" si="20"/>
        <v>2030</v>
      </c>
      <c r="O124" s="88">
        <f t="shared" si="20"/>
        <v>2031</v>
      </c>
      <c r="P124" s="88">
        <f t="shared" si="20"/>
        <v>2032</v>
      </c>
      <c r="Q124" s="88">
        <f t="shared" si="20"/>
        <v>2033</v>
      </c>
      <c r="R124" s="88">
        <f t="shared" si="20"/>
        <v>2034</v>
      </c>
      <c r="S124" s="88">
        <f t="shared" si="20"/>
        <v>2035</v>
      </c>
      <c r="T124" s="164"/>
      <c r="U124" s="163"/>
      <c r="V124" s="49"/>
      <c r="W124" s="33"/>
    </row>
    <row r="125" spans="1:30" ht="12" customHeight="1" x14ac:dyDescent="0.25">
      <c r="A125" s="54"/>
      <c r="B125" s="108"/>
      <c r="C125" s="149"/>
      <c r="E125" s="51"/>
      <c r="F125" s="51"/>
      <c r="G125" s="354" t="s">
        <v>77</v>
      </c>
      <c r="H125" s="355"/>
      <c r="I125" s="287">
        <f>SUM(J125:S125)</f>
        <v>775000</v>
      </c>
      <c r="J125" s="288">
        <f>J50</f>
        <v>100000</v>
      </c>
      <c r="K125" s="289">
        <f t="shared" ref="K125:S125" si="21">K50</f>
        <v>75000</v>
      </c>
      <c r="L125" s="289">
        <f t="shared" si="21"/>
        <v>75000</v>
      </c>
      <c r="M125" s="289">
        <f t="shared" si="21"/>
        <v>75000</v>
      </c>
      <c r="N125" s="289">
        <f t="shared" si="21"/>
        <v>75000</v>
      </c>
      <c r="O125" s="289">
        <f t="shared" si="21"/>
        <v>75000</v>
      </c>
      <c r="P125" s="289">
        <f t="shared" si="21"/>
        <v>75000</v>
      </c>
      <c r="Q125" s="289">
        <f t="shared" si="21"/>
        <v>75000</v>
      </c>
      <c r="R125" s="289">
        <f t="shared" si="21"/>
        <v>75000</v>
      </c>
      <c r="S125" s="289">
        <f t="shared" si="21"/>
        <v>75000</v>
      </c>
      <c r="T125" s="165"/>
      <c r="U125" s="246">
        <v>-1</v>
      </c>
      <c r="V125" s="49"/>
      <c r="W125" s="33"/>
    </row>
    <row r="126" spans="1:30" s="36" customFormat="1" ht="12" customHeight="1" x14ac:dyDescent="0.25">
      <c r="A126" s="54"/>
      <c r="B126" s="108"/>
      <c r="C126" s="149"/>
      <c r="D126" s="33"/>
      <c r="E126" s="51"/>
      <c r="F126" s="51"/>
      <c r="G126" s="356" t="s">
        <v>86</v>
      </c>
      <c r="H126" s="357"/>
      <c r="I126" s="288">
        <f t="shared" ref="I126" si="22">SUM(J126:S126)</f>
        <v>480000</v>
      </c>
      <c r="J126" s="288">
        <f>J84</f>
        <v>8000</v>
      </c>
      <c r="K126" s="289">
        <f t="shared" ref="K126:S126" si="23">K84</f>
        <v>56000</v>
      </c>
      <c r="L126" s="289">
        <f t="shared" si="23"/>
        <v>96000</v>
      </c>
      <c r="M126" s="289">
        <f t="shared" si="23"/>
        <v>96000</v>
      </c>
      <c r="N126" s="289">
        <f t="shared" si="23"/>
        <v>96000</v>
      </c>
      <c r="O126" s="289">
        <f t="shared" si="23"/>
        <v>88000</v>
      </c>
      <c r="P126" s="289">
        <f t="shared" si="23"/>
        <v>40000</v>
      </c>
      <c r="Q126" s="289">
        <f t="shared" si="23"/>
        <v>0</v>
      </c>
      <c r="R126" s="289">
        <f t="shared" si="23"/>
        <v>0</v>
      </c>
      <c r="S126" s="289">
        <f t="shared" si="23"/>
        <v>0</v>
      </c>
      <c r="T126" s="166"/>
      <c r="U126" s="173" t="s">
        <v>142</v>
      </c>
      <c r="V126" s="49"/>
      <c r="W126" s="34"/>
      <c r="X126" s="33"/>
      <c r="Y126" s="33"/>
      <c r="Z126" s="33"/>
      <c r="AA126" s="33"/>
      <c r="AB126" s="33"/>
      <c r="AC126" s="33"/>
      <c r="AD126" s="33"/>
    </row>
    <row r="127" spans="1:30" ht="12" customHeight="1" x14ac:dyDescent="0.25">
      <c r="A127" s="54"/>
      <c r="B127" s="108"/>
      <c r="C127" s="149"/>
      <c r="E127" s="51"/>
      <c r="F127" s="51"/>
      <c r="G127" s="354" t="s">
        <v>143</v>
      </c>
      <c r="H127" s="355"/>
      <c r="I127" s="287">
        <f>SUM(J127:S127)</f>
        <v>6460000</v>
      </c>
      <c r="J127" s="289">
        <f t="shared" ref="J127:S127" si="24">J119</f>
        <v>0</v>
      </c>
      <c r="K127" s="289">
        <f t="shared" si="24"/>
        <v>250000</v>
      </c>
      <c r="L127" s="289">
        <f t="shared" si="24"/>
        <v>500000</v>
      </c>
      <c r="M127" s="289">
        <f t="shared" si="24"/>
        <v>730000</v>
      </c>
      <c r="N127" s="289">
        <f t="shared" si="24"/>
        <v>830000</v>
      </c>
      <c r="O127" s="289">
        <f t="shared" si="24"/>
        <v>830000</v>
      </c>
      <c r="P127" s="289">
        <f t="shared" si="24"/>
        <v>830000</v>
      </c>
      <c r="Q127" s="289">
        <f t="shared" si="24"/>
        <v>830000</v>
      </c>
      <c r="R127" s="289">
        <f t="shared" si="24"/>
        <v>830000</v>
      </c>
      <c r="S127" s="289">
        <f t="shared" si="24"/>
        <v>830000</v>
      </c>
      <c r="T127" s="165"/>
      <c r="U127" s="173" t="s">
        <v>144</v>
      </c>
      <c r="V127" s="49"/>
    </row>
    <row r="128" spans="1:30" ht="12" customHeight="1" x14ac:dyDescent="0.25">
      <c r="A128" s="54"/>
      <c r="B128" s="108"/>
      <c r="C128" s="149"/>
      <c r="E128" s="51"/>
      <c r="F128" s="51"/>
      <c r="G128" s="154" t="s">
        <v>145</v>
      </c>
      <c r="H128" s="155"/>
      <c r="I128" s="290">
        <f>SUM(J128:S128)</f>
        <v>5205000</v>
      </c>
      <c r="J128" s="291">
        <f t="shared" ref="J128:S128" si="25">J127-J126-J125</f>
        <v>-108000</v>
      </c>
      <c r="K128" s="292">
        <f t="shared" si="25"/>
        <v>119000</v>
      </c>
      <c r="L128" s="292">
        <f t="shared" si="25"/>
        <v>329000</v>
      </c>
      <c r="M128" s="292">
        <f t="shared" si="25"/>
        <v>559000</v>
      </c>
      <c r="N128" s="292">
        <f t="shared" si="25"/>
        <v>659000</v>
      </c>
      <c r="O128" s="292">
        <f t="shared" si="25"/>
        <v>667000</v>
      </c>
      <c r="P128" s="292">
        <f t="shared" si="25"/>
        <v>715000</v>
      </c>
      <c r="Q128" s="292">
        <f t="shared" si="25"/>
        <v>755000</v>
      </c>
      <c r="R128" s="292">
        <f t="shared" si="25"/>
        <v>755000</v>
      </c>
      <c r="S128" s="292">
        <f t="shared" si="25"/>
        <v>755000</v>
      </c>
      <c r="T128" s="167"/>
      <c r="U128" s="173" t="s">
        <v>146</v>
      </c>
      <c r="V128" s="49"/>
    </row>
    <row r="129" spans="1:22" ht="12" customHeight="1" x14ac:dyDescent="0.25">
      <c r="A129" s="54"/>
      <c r="B129" s="108"/>
      <c r="C129" s="149"/>
      <c r="E129" s="51"/>
      <c r="F129" s="51"/>
      <c r="G129" s="152" t="s">
        <v>147</v>
      </c>
      <c r="H129" s="153"/>
      <c r="I129" s="287">
        <f>SUM(J129:S129)</f>
        <v>-1402158.6546552195</v>
      </c>
      <c r="J129" s="288">
        <f>J128*-Summary!$J$44</f>
        <v>29093.781883335963</v>
      </c>
      <c r="K129" s="289">
        <f>K128*-Summary!$J$44</f>
        <v>-32057.037445527592</v>
      </c>
      <c r="L129" s="289">
        <f>L128*-Summary!$J$44</f>
        <v>-88628.27999645863</v>
      </c>
      <c r="M129" s="289">
        <f>M128*-Summary!$J$44</f>
        <v>-150587.25993319263</v>
      </c>
      <c r="N129" s="289">
        <f>N128*-Summary!$J$44</f>
        <v>-177525.94686220741</v>
      </c>
      <c r="O129" s="289">
        <f>O128*-Summary!$J$44</f>
        <v>-179681.0418165286</v>
      </c>
      <c r="P129" s="289">
        <f>P128*-Summary!$J$44</f>
        <v>-192611.61154245571</v>
      </c>
      <c r="Q129" s="289">
        <f>Q128*-Summary!$J$44</f>
        <v>-203387.0863140616</v>
      </c>
      <c r="R129" s="289">
        <f>R128*-Summary!$J$44</f>
        <v>-203387.0863140616</v>
      </c>
      <c r="S129" s="289">
        <f>S128*-Summary!$J$44</f>
        <v>-203387.0863140616</v>
      </c>
      <c r="T129" s="166"/>
      <c r="U129" s="173" t="s">
        <v>148</v>
      </c>
      <c r="V129" s="49"/>
    </row>
    <row r="130" spans="1:22" ht="12" customHeight="1" x14ac:dyDescent="0.25">
      <c r="A130" s="54"/>
      <c r="B130" s="108"/>
      <c r="C130" s="149"/>
      <c r="E130" s="51"/>
      <c r="F130" s="51"/>
      <c r="G130" s="154" t="s">
        <v>149</v>
      </c>
      <c r="H130" s="155"/>
      <c r="I130" s="290">
        <f t="shared" ref="I130:I147" si="26">SUM(J130:S130)</f>
        <v>3802841.3453447805</v>
      </c>
      <c r="J130" s="291">
        <f t="shared" ref="J130:S130" si="27">J128+J129</f>
        <v>-78906.218116664037</v>
      </c>
      <c r="K130" s="292">
        <f t="shared" si="27"/>
        <v>86942.962554472411</v>
      </c>
      <c r="L130" s="292">
        <f t="shared" si="27"/>
        <v>240371.72000354138</v>
      </c>
      <c r="M130" s="292">
        <f t="shared" si="27"/>
        <v>408412.74006680737</v>
      </c>
      <c r="N130" s="292">
        <f t="shared" si="27"/>
        <v>481474.05313779262</v>
      </c>
      <c r="O130" s="292">
        <f t="shared" si="27"/>
        <v>487318.9581834714</v>
      </c>
      <c r="P130" s="292">
        <f t="shared" si="27"/>
        <v>522388.38845754426</v>
      </c>
      <c r="Q130" s="292">
        <f t="shared" si="27"/>
        <v>551612.91368593834</v>
      </c>
      <c r="R130" s="292">
        <f t="shared" si="27"/>
        <v>551612.91368593834</v>
      </c>
      <c r="S130" s="292">
        <f t="shared" si="27"/>
        <v>551612.91368593834</v>
      </c>
      <c r="T130" s="168"/>
      <c r="U130" s="173" t="s">
        <v>150</v>
      </c>
      <c r="V130" s="49"/>
    </row>
    <row r="131" spans="1:22" ht="12" customHeight="1" x14ac:dyDescent="0.25">
      <c r="A131" s="54"/>
      <c r="B131" s="108"/>
      <c r="C131" s="149"/>
      <c r="E131" s="51"/>
      <c r="F131" s="51"/>
      <c r="G131" s="150" t="s">
        <v>151</v>
      </c>
      <c r="H131" s="151"/>
      <c r="I131" s="293">
        <f t="shared" si="26"/>
        <v>1200000</v>
      </c>
      <c r="J131" s="293">
        <f>J56</f>
        <v>72000</v>
      </c>
      <c r="K131" s="294">
        <f>K56+K59</f>
        <v>416000</v>
      </c>
      <c r="L131" s="294">
        <f>L56+L59+L62</f>
        <v>320000</v>
      </c>
      <c r="M131" s="294">
        <f>M56+M59+M62+M65</f>
        <v>224000</v>
      </c>
      <c r="N131" s="294">
        <f>N56+N59+N62+N65+N68</f>
        <v>128000</v>
      </c>
      <c r="O131" s="294">
        <f>O56+O59+O62+O65+O68+O71</f>
        <v>40000</v>
      </c>
      <c r="P131" s="294">
        <f>P56+P59+P62+P65+P68+P71+P74</f>
        <v>0</v>
      </c>
      <c r="Q131" s="294">
        <f>Q56+Q59+Q62+Q65+Q68+Q71+Q74+Q77</f>
        <v>0</v>
      </c>
      <c r="R131" s="294">
        <f>R56+R59+R62+R65+R68+R71+R74+R77+R80</f>
        <v>0</v>
      </c>
      <c r="S131" s="294">
        <f>S56+S59+S62+S65+S68+S71+S74+S77+S80+S83</f>
        <v>0</v>
      </c>
      <c r="T131" s="166"/>
      <c r="U131" s="173" t="s">
        <v>152</v>
      </c>
      <c r="V131" s="49"/>
    </row>
    <row r="132" spans="1:22" ht="12" customHeight="1" x14ac:dyDescent="0.25">
      <c r="A132" s="54"/>
      <c r="B132" s="108"/>
      <c r="C132" s="149"/>
      <c r="E132" s="51"/>
      <c r="F132" s="51"/>
      <c r="G132" s="156" t="s">
        <v>92</v>
      </c>
      <c r="H132" s="157"/>
      <c r="I132" s="295">
        <f t="shared" si="26"/>
        <v>-69725.309876015672</v>
      </c>
      <c r="J132" s="295">
        <f>-J131*Summary!$L$44</f>
        <v>-4183.5185925609403</v>
      </c>
      <c r="K132" s="296">
        <f>-K131*Summary!$L$44</f>
        <v>-24171.440757018765</v>
      </c>
      <c r="L132" s="296">
        <f>-L131*Summary!$L$44</f>
        <v>-18593.415966937511</v>
      </c>
      <c r="M132" s="296">
        <f>-M131*Summary!$L$44</f>
        <v>-13015.391176856259</v>
      </c>
      <c r="N132" s="296">
        <f>-N131*Summary!$L$44</f>
        <v>-7437.3663867750047</v>
      </c>
      <c r="O132" s="296">
        <f>-O131*Summary!$L$44</f>
        <v>-2324.1769958671889</v>
      </c>
      <c r="P132" s="296">
        <f>-P131*Summary!$L$44</f>
        <v>0</v>
      </c>
      <c r="Q132" s="296">
        <f>-Q131*Summary!$L$44</f>
        <v>0</v>
      </c>
      <c r="R132" s="296">
        <f>-R131*Summary!$L$44</f>
        <v>0</v>
      </c>
      <c r="S132" s="296">
        <f>-S131*Summary!$L$44</f>
        <v>0</v>
      </c>
      <c r="T132" s="166"/>
      <c r="U132" s="173" t="s">
        <v>153</v>
      </c>
      <c r="V132" s="49"/>
    </row>
    <row r="133" spans="1:22" ht="12" customHeight="1" x14ac:dyDescent="0.25">
      <c r="A133" s="54"/>
      <c r="B133" s="108"/>
      <c r="C133" s="149"/>
      <c r="E133" s="51"/>
      <c r="F133" s="51"/>
      <c r="G133" s="154" t="s">
        <v>154</v>
      </c>
      <c r="H133" s="155"/>
      <c r="I133" s="290">
        <f t="shared" si="26"/>
        <v>3733116.0354687646</v>
      </c>
      <c r="J133" s="291">
        <f t="shared" ref="J133:S133" si="28">J130+J132</f>
        <v>-83089.736709224977</v>
      </c>
      <c r="K133" s="292">
        <f t="shared" si="28"/>
        <v>62771.52179745365</v>
      </c>
      <c r="L133" s="292">
        <f t="shared" si="28"/>
        <v>221778.30403660386</v>
      </c>
      <c r="M133" s="292">
        <f t="shared" si="28"/>
        <v>395397.34888995113</v>
      </c>
      <c r="N133" s="292">
        <f t="shared" si="28"/>
        <v>474036.68675101764</v>
      </c>
      <c r="O133" s="292">
        <f t="shared" si="28"/>
        <v>484994.78118760424</v>
      </c>
      <c r="P133" s="292">
        <f t="shared" si="28"/>
        <v>522388.38845754426</v>
      </c>
      <c r="Q133" s="292">
        <f t="shared" si="28"/>
        <v>551612.91368593834</v>
      </c>
      <c r="R133" s="292">
        <f t="shared" si="28"/>
        <v>551612.91368593834</v>
      </c>
      <c r="S133" s="292">
        <f t="shared" si="28"/>
        <v>551612.91368593834</v>
      </c>
      <c r="T133" s="168"/>
      <c r="U133" s="173" t="s">
        <v>155</v>
      </c>
      <c r="V133" s="49"/>
    </row>
    <row r="134" spans="1:22" ht="12" customHeight="1" x14ac:dyDescent="0.25">
      <c r="A134" s="54"/>
      <c r="B134" s="108"/>
      <c r="C134" s="149"/>
      <c r="E134" s="51"/>
      <c r="F134" s="51"/>
      <c r="G134" s="162"/>
      <c r="H134" s="162"/>
      <c r="I134" s="297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168"/>
      <c r="U134" s="163"/>
      <c r="V134" s="49"/>
    </row>
    <row r="135" spans="1:22" ht="12" customHeight="1" x14ac:dyDescent="0.25">
      <c r="A135" s="54"/>
      <c r="B135" s="108"/>
      <c r="C135" s="118" t="s">
        <v>156</v>
      </c>
      <c r="D135" s="119"/>
      <c r="E135" s="119"/>
      <c r="F135" s="119"/>
      <c r="G135" s="119"/>
      <c r="H135" s="119"/>
      <c r="I135" s="286">
        <f t="shared" si="26"/>
        <v>2678548.6385487886</v>
      </c>
      <c r="J135" s="286">
        <f>J133/(1+Summary!$L$44)^0</f>
        <v>-83089.736709224977</v>
      </c>
      <c r="K135" s="286">
        <f>K133/(1+Summary!$L$44)^1</f>
        <v>59324.505521827938</v>
      </c>
      <c r="L135" s="286">
        <f>L133/(1+Summary!$L$44)^2</f>
        <v>198089.74681665414</v>
      </c>
      <c r="M135" s="286">
        <f>M133/(1+Summary!$L$44)^3</f>
        <v>333770.66296207276</v>
      </c>
      <c r="N135" s="286">
        <f>N133/(1+Summary!$L$44)^4</f>
        <v>378179.36797549651</v>
      </c>
      <c r="O135" s="286">
        <f>O133/(1+Summary!$L$44)^5</f>
        <v>365674.27795299212</v>
      </c>
      <c r="P135" s="286">
        <f>P133/(1+Summary!$L$44)^6</f>
        <v>372239.39317528601</v>
      </c>
      <c r="Q135" s="286">
        <f>Q133/(1+Summary!$L$44)^7</f>
        <v>371479.37893752503</v>
      </c>
      <c r="R135" s="286">
        <f>R133/(1+Summary!$L$44)^8</f>
        <v>351080.07319201855</v>
      </c>
      <c r="S135" s="286">
        <f>S133/(1+Summary!$L$44)^9</f>
        <v>331800.96872414107</v>
      </c>
      <c r="T135" s="169"/>
      <c r="U135" s="163"/>
      <c r="V135" s="49"/>
    </row>
    <row r="136" spans="1:22" ht="12" customHeight="1" x14ac:dyDescent="0.25">
      <c r="A136" s="54"/>
      <c r="B136" s="108"/>
      <c r="C136" s="256" t="s">
        <v>157</v>
      </c>
      <c r="I136" s="299">
        <f>I135</f>
        <v>2678548.6385487886</v>
      </c>
      <c r="J136" s="299">
        <f>J135</f>
        <v>-83089.736709224977</v>
      </c>
      <c r="K136" s="299">
        <f t="shared" ref="K136:S136" si="29">J136+K135</f>
        <v>-23765.231187397039</v>
      </c>
      <c r="L136" s="299">
        <f t="shared" si="29"/>
        <v>174324.5156292571</v>
      </c>
      <c r="M136" s="299">
        <f t="shared" si="29"/>
        <v>508095.17859132984</v>
      </c>
      <c r="N136" s="299">
        <f t="shared" si="29"/>
        <v>886274.54656682629</v>
      </c>
      <c r="O136" s="299">
        <f t="shared" si="29"/>
        <v>1251948.8245198184</v>
      </c>
      <c r="P136" s="299">
        <f t="shared" si="29"/>
        <v>1624188.2176951044</v>
      </c>
      <c r="Q136" s="299">
        <f t="shared" si="29"/>
        <v>1995667.5966326294</v>
      </c>
      <c r="R136" s="299">
        <f t="shared" si="29"/>
        <v>2346747.6698246477</v>
      </c>
      <c r="S136" s="299">
        <f t="shared" si="29"/>
        <v>2678548.6385487886</v>
      </c>
      <c r="T136" s="134"/>
      <c r="U136" s="163"/>
      <c r="V136" s="49"/>
    </row>
    <row r="137" spans="1:22" ht="12" customHeight="1" x14ac:dyDescent="0.25">
      <c r="A137" s="54"/>
      <c r="B137" s="108"/>
      <c r="C137" s="257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134"/>
      <c r="U137" s="163"/>
      <c r="V137" s="49"/>
    </row>
    <row r="138" spans="1:22" ht="12" customHeight="1" x14ac:dyDescent="0.25">
      <c r="A138" s="54"/>
      <c r="B138" s="108"/>
      <c r="C138" s="118" t="s">
        <v>158</v>
      </c>
      <c r="D138" s="258"/>
      <c r="E138" s="258"/>
      <c r="F138" s="258"/>
      <c r="G138" s="258"/>
      <c r="H138" s="258"/>
      <c r="I138" s="286">
        <f t="shared" si="26"/>
        <v>2660004.7027548309</v>
      </c>
      <c r="J138" s="286">
        <f>(-J26-J50+J129+J127)/(1+Summary!$L$44)^0</f>
        <v>-550906.21811666409</v>
      </c>
      <c r="K138" s="286">
        <f>(-K26-K50+K129+K127)/(1+Summary!$L$44)^1</f>
        <v>135093.43614022812</v>
      </c>
      <c r="L138" s="286">
        <f>(-L26-L50+L129+L127)/(1+Summary!$L$44)^2</f>
        <v>300443.22478355054</v>
      </c>
      <c r="M138" s="286">
        <f>(-M26-M50+M129+M127)/(1+Summary!$L$44)^3</f>
        <v>425794.90007018793</v>
      </c>
      <c r="N138" s="286">
        <f>(-N26-N50+N129+N127)/(1+Summary!$L$44)^4</f>
        <v>460700.14946460229</v>
      </c>
      <c r="O138" s="286">
        <f>(-O26-O50+O129+O127)/(1+Summary!$L$44)^5</f>
        <v>433776.51221576805</v>
      </c>
      <c r="P138" s="286">
        <f>(-P26-P50+P129+P127)/(1+Summary!$L$44)^6</f>
        <v>400742.2773434734</v>
      </c>
      <c r="Q138" s="286">
        <f>(-Q26-Q50+Q129+Q127)/(1+Summary!$L$44)^7</f>
        <v>371479.37893752503</v>
      </c>
      <c r="R138" s="286">
        <f>(-R26-R50+R129+R127)/(1+Summary!$L$44)^8</f>
        <v>351080.07319201855</v>
      </c>
      <c r="S138" s="286">
        <f>(-S26-S50+S129+S127)/(1+Summary!$L$44)^9</f>
        <v>331800.96872414107</v>
      </c>
      <c r="T138" s="134"/>
      <c r="U138" s="163"/>
      <c r="V138" s="49"/>
    </row>
    <row r="139" spans="1:22" ht="12" customHeight="1" x14ac:dyDescent="0.25">
      <c r="A139" s="54"/>
      <c r="B139" s="108"/>
      <c r="C139" s="256" t="s">
        <v>159</v>
      </c>
      <c r="I139" s="299">
        <f>I138</f>
        <v>2660004.7027548309</v>
      </c>
      <c r="J139" s="299">
        <f>J138</f>
        <v>-550906.21811666409</v>
      </c>
      <c r="K139" s="299">
        <f t="shared" ref="K139:S139" si="30">J139+K138</f>
        <v>-415812.78197643597</v>
      </c>
      <c r="L139" s="299">
        <f t="shared" si="30"/>
        <v>-115369.55719288543</v>
      </c>
      <c r="M139" s="299">
        <f t="shared" si="30"/>
        <v>310425.34287730249</v>
      </c>
      <c r="N139" s="299">
        <f t="shared" si="30"/>
        <v>771125.49234190478</v>
      </c>
      <c r="O139" s="299">
        <f t="shared" si="30"/>
        <v>1204902.0045576729</v>
      </c>
      <c r="P139" s="299">
        <f t="shared" si="30"/>
        <v>1605644.2819011463</v>
      </c>
      <c r="Q139" s="299">
        <f t="shared" si="30"/>
        <v>1977123.6608386713</v>
      </c>
      <c r="R139" s="299">
        <f t="shared" si="30"/>
        <v>2328203.73403069</v>
      </c>
      <c r="S139" s="299">
        <f t="shared" si="30"/>
        <v>2660004.7027548309</v>
      </c>
      <c r="T139" s="134"/>
      <c r="U139" s="163"/>
      <c r="V139" s="49"/>
    </row>
    <row r="140" spans="1:22" ht="12" customHeight="1" x14ac:dyDescent="0.25">
      <c r="A140" s="54"/>
      <c r="B140" s="108"/>
      <c r="C140" s="149"/>
      <c r="J140" s="249">
        <f>IF(J124&lt;$Q$11,0,IF(J124=$Q$11,6,12))</f>
        <v>0</v>
      </c>
      <c r="K140" s="252">
        <f>IF(K124&lt;$Q$11,0,IF(K124=$Q$11,6,12))</f>
        <v>6</v>
      </c>
      <c r="L140" s="249">
        <f t="shared" ref="L140:S140" si="31">IF(L124&lt;$Q$11,0,IF(L124=$Q$11,6,12))</f>
        <v>12</v>
      </c>
      <c r="M140" s="249">
        <f t="shared" si="31"/>
        <v>12</v>
      </c>
      <c r="N140" s="249">
        <f t="shared" si="31"/>
        <v>12</v>
      </c>
      <c r="O140" s="249">
        <f t="shared" si="31"/>
        <v>12</v>
      </c>
      <c r="P140" s="249">
        <f t="shared" si="31"/>
        <v>12</v>
      </c>
      <c r="Q140" s="249">
        <f t="shared" si="31"/>
        <v>12</v>
      </c>
      <c r="R140" s="249">
        <f t="shared" si="31"/>
        <v>12</v>
      </c>
      <c r="S140" s="249">
        <f t="shared" si="31"/>
        <v>12</v>
      </c>
      <c r="T140" s="134"/>
      <c r="U140" s="163"/>
      <c r="V140" s="49"/>
    </row>
    <row r="141" spans="1:22" ht="12" customHeight="1" x14ac:dyDescent="0.25">
      <c r="A141" s="54"/>
      <c r="B141" s="108"/>
      <c r="C141" s="149" t="s">
        <v>160</v>
      </c>
      <c r="I141" s="250">
        <f>IFERROR(SUM(J141:S141),"")</f>
        <v>21.251412090859745</v>
      </c>
      <c r="J141" s="250">
        <f>IFERROR(IF(I139&gt;0,0,IF(J139&lt;0,J140,I139/(-J138/12))),"")</f>
        <v>0</v>
      </c>
      <c r="K141" s="250">
        <f>IFERROR(IF(J139&gt;0,0,IF(K139&lt;0,K140,J139/(-K138/12))),"")</f>
        <v>6</v>
      </c>
      <c r="L141" s="250">
        <f t="shared" ref="L141:S141" si="32">IFERROR(IF(K139&gt;0,0,IF(L139&lt;0,L140,K139/(-L138/12))),"")</f>
        <v>12</v>
      </c>
      <c r="M141" s="250">
        <f t="shared" si="32"/>
        <v>3.251412090859743</v>
      </c>
      <c r="N141" s="250">
        <f t="shared" si="32"/>
        <v>0</v>
      </c>
      <c r="O141" s="250">
        <f t="shared" si="32"/>
        <v>0</v>
      </c>
      <c r="P141" s="250">
        <f t="shared" si="32"/>
        <v>0</v>
      </c>
      <c r="Q141" s="250">
        <f t="shared" si="32"/>
        <v>0</v>
      </c>
      <c r="R141" s="250">
        <f t="shared" si="32"/>
        <v>0</v>
      </c>
      <c r="S141" s="250">
        <f t="shared" si="32"/>
        <v>0</v>
      </c>
      <c r="T141" s="134"/>
      <c r="U141" s="163"/>
      <c r="V141" s="49"/>
    </row>
    <row r="142" spans="1:22" ht="12" customHeight="1" x14ac:dyDescent="0.25">
      <c r="A142" s="54"/>
      <c r="B142" s="108"/>
      <c r="C142" s="149" t="s">
        <v>161</v>
      </c>
      <c r="I142" s="251">
        <f>IF(I141/12&gt;$J$28,"n/a",I141/12)</f>
        <v>1.7709510075716455</v>
      </c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134"/>
      <c r="U142" s="163"/>
      <c r="V142" s="49"/>
    </row>
    <row r="143" spans="1:22" ht="12" customHeight="1" x14ac:dyDescent="0.25">
      <c r="A143" s="54"/>
      <c r="B143" s="108"/>
      <c r="C143" s="149"/>
      <c r="I143" s="251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134"/>
      <c r="U143" s="163"/>
      <c r="V143" s="49"/>
    </row>
    <row r="144" spans="1:22" ht="12" hidden="1" customHeight="1" x14ac:dyDescent="0.25">
      <c r="A144" s="54"/>
      <c r="B144" s="108"/>
      <c r="C144" s="248" t="s">
        <v>162</v>
      </c>
      <c r="D144" s="248"/>
      <c r="I144" s="254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134"/>
      <c r="U144" s="163"/>
      <c r="V144" s="49"/>
    </row>
    <row r="145" spans="1:22" ht="12" hidden="1" customHeight="1" x14ac:dyDescent="0.25">
      <c r="A145" s="54"/>
      <c r="B145" s="108"/>
      <c r="C145" s="149" t="s">
        <v>163</v>
      </c>
      <c r="I145" s="255">
        <f>IFERROR(ROUNDDOWN(I142,0)+IF(ROUND((I142-ROUNDDOWN(I142,0))*12,0)=12,1,0),"")</f>
        <v>1</v>
      </c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134"/>
      <c r="U145" s="163"/>
      <c r="V145" s="49"/>
    </row>
    <row r="146" spans="1:22" ht="12" hidden="1" customHeight="1" x14ac:dyDescent="0.25">
      <c r="A146" s="54"/>
      <c r="B146" s="108"/>
      <c r="C146" s="149" t="s">
        <v>164</v>
      </c>
      <c r="I146" s="253">
        <f>IFERROR(MOD(ROUND((I142-ROUNDDOWN(I142,0))*12,0),12),"")</f>
        <v>9</v>
      </c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134"/>
      <c r="U146" s="163"/>
      <c r="V146" s="49"/>
    </row>
    <row r="147" spans="1:22" ht="12" customHeight="1" x14ac:dyDescent="0.25">
      <c r="A147" s="54"/>
      <c r="B147" s="108"/>
      <c r="C147" s="118" t="s">
        <v>165</v>
      </c>
      <c r="D147" s="119"/>
      <c r="E147" s="119"/>
      <c r="F147" s="119"/>
      <c r="G147" s="119"/>
      <c r="H147" s="119"/>
      <c r="I147" s="286">
        <f t="shared" si="26"/>
        <v>480000</v>
      </c>
      <c r="J147" s="286">
        <f>J26/(1+Summary!$L$44)^0</f>
        <v>480000</v>
      </c>
      <c r="K147" s="286">
        <f>K26/(1+Summary!$L$44)^1</f>
        <v>0</v>
      </c>
      <c r="L147" s="286">
        <f>L26/(1+Summary!$L$44)^2</f>
        <v>0</v>
      </c>
      <c r="M147" s="286">
        <f>M26/(1+Summary!$L$44)^3</f>
        <v>0</v>
      </c>
      <c r="N147" s="286">
        <f>N26/(1+Summary!$L$44)^4</f>
        <v>0</v>
      </c>
      <c r="O147" s="286">
        <f>O26/(1+Summary!$L$44)^5</f>
        <v>0</v>
      </c>
      <c r="P147" s="286">
        <f>P26/(1+Summary!$L$44)^6</f>
        <v>0</v>
      </c>
      <c r="Q147" s="286">
        <f>Q26/(1+Summary!$L$44)^7</f>
        <v>0</v>
      </c>
      <c r="R147" s="286">
        <f>R26/(1+Summary!$L$44)^8</f>
        <v>0</v>
      </c>
      <c r="S147" s="286">
        <f>S26/(1+Summary!$L$44)^9</f>
        <v>0</v>
      </c>
      <c r="T147" s="300">
        <f>I147</f>
        <v>480000</v>
      </c>
      <c r="U147" s="163"/>
      <c r="V147" s="49"/>
    </row>
    <row r="148" spans="1:22" x14ac:dyDescent="0.25">
      <c r="A148" s="54"/>
      <c r="B148" s="115"/>
      <c r="C148" s="129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70"/>
      <c r="U148" s="54"/>
    </row>
    <row r="149" spans="1:22" ht="15.6" x14ac:dyDescent="0.25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2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2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</sheetData>
  <mergeCells count="58">
    <mergeCell ref="G125:H125"/>
    <mergeCell ref="G126:H126"/>
    <mergeCell ref="G127:H127"/>
    <mergeCell ref="G116:I116"/>
    <mergeCell ref="G113:I113"/>
    <mergeCell ref="G117:S117"/>
    <mergeCell ref="G109:H109"/>
    <mergeCell ref="G110:H110"/>
    <mergeCell ref="G82:I82"/>
    <mergeCell ref="G84:I84"/>
    <mergeCell ref="G93:I93"/>
    <mergeCell ref="G94:H94"/>
    <mergeCell ref="G98:H98"/>
    <mergeCell ref="G99:H99"/>
    <mergeCell ref="G106:H106"/>
    <mergeCell ref="G101:I101"/>
    <mergeCell ref="G95:H95"/>
    <mergeCell ref="G96:H96"/>
    <mergeCell ref="G97:H97"/>
    <mergeCell ref="G107:H107"/>
    <mergeCell ref="G67:I67"/>
    <mergeCell ref="G70:I70"/>
    <mergeCell ref="G73:I73"/>
    <mergeCell ref="G76:I76"/>
    <mergeCell ref="G79:I79"/>
    <mergeCell ref="G58:I58"/>
    <mergeCell ref="G61:I61"/>
    <mergeCell ref="G64:I64"/>
    <mergeCell ref="G18:I18"/>
    <mergeCell ref="G21:I21"/>
    <mergeCell ref="G23:I23"/>
    <mergeCell ref="G28:I28"/>
    <mergeCell ref="G42:I42"/>
    <mergeCell ref="G44:I44"/>
    <mergeCell ref="G46:I46"/>
    <mergeCell ref="G60:I60"/>
    <mergeCell ref="G40:I40"/>
    <mergeCell ref="Q8:S8"/>
    <mergeCell ref="Q9:S9"/>
    <mergeCell ref="Q10:S10"/>
    <mergeCell ref="Q11:S11"/>
    <mergeCell ref="G55:I55"/>
    <mergeCell ref="T2:T3"/>
    <mergeCell ref="G111:H111"/>
    <mergeCell ref="G108:H108"/>
    <mergeCell ref="G105:I105"/>
    <mergeCell ref="E2:G3"/>
    <mergeCell ref="J2:N3"/>
    <mergeCell ref="G33:I33"/>
    <mergeCell ref="G36:I36"/>
    <mergeCell ref="G38:I38"/>
    <mergeCell ref="L10:N10"/>
    <mergeCell ref="K28:S28"/>
    <mergeCell ref="L9:N9"/>
    <mergeCell ref="L7:N7"/>
    <mergeCell ref="L8:N8"/>
    <mergeCell ref="L11:N11"/>
    <mergeCell ref="Q7:S7"/>
  </mergeCells>
  <conditionalFormatting sqref="I128:S128">
    <cfRule type="expression" dxfId="15" priority="11" stopIfTrue="1">
      <formula>I127&gt;#REF!</formula>
    </cfRule>
  </conditionalFormatting>
  <conditionalFormatting sqref="I130:S130">
    <cfRule type="expression" dxfId="14" priority="12" stopIfTrue="1">
      <formula>I129&gt;#REF!</formula>
    </cfRule>
  </conditionalFormatting>
  <conditionalFormatting sqref="I133:S134">
    <cfRule type="expression" dxfId="13" priority="13" stopIfTrue="1">
      <formula>I132&gt;#REF!</formula>
    </cfRule>
  </conditionalFormatting>
  <conditionalFormatting sqref="J19:S20">
    <cfRule type="expression" dxfId="12" priority="9" stopIfTrue="1">
      <formula>J$16&gt;$Q$11</formula>
    </cfRule>
  </conditionalFormatting>
  <conditionalFormatting sqref="J22:S22">
    <cfRule type="expression" dxfId="11" priority="24" stopIfTrue="1">
      <formula>J21&gt;#REF!</formula>
    </cfRule>
  </conditionalFormatting>
  <conditionalFormatting sqref="J24:S24">
    <cfRule type="expression" dxfId="10" priority="23" stopIfTrue="1">
      <formula>J23&gt;#REF!</formula>
    </cfRule>
  </conditionalFormatting>
  <conditionalFormatting sqref="J34:S35">
    <cfRule type="expression" dxfId="9" priority="7" stopIfTrue="1">
      <formula>J$16&gt;$Q$11</formula>
    </cfRule>
  </conditionalFormatting>
  <conditionalFormatting sqref="J37:S37 J39:S39 J43:S43 J45:S45 J47:S48">
    <cfRule type="expression" dxfId="8" priority="22" stopIfTrue="1">
      <formula>J36&gt;#REF!</formula>
    </cfRule>
  </conditionalFormatting>
  <conditionalFormatting sqref="J41:S41">
    <cfRule type="expression" dxfId="7" priority="1" stopIfTrue="1">
      <formula>J40&gt;#REF!</formula>
    </cfRule>
  </conditionalFormatting>
  <conditionalFormatting sqref="J94:S99">
    <cfRule type="expression" dxfId="6" priority="21" stopIfTrue="1">
      <formula>J93&gt;#REF!</formula>
    </cfRule>
  </conditionalFormatting>
  <conditionalFormatting sqref="J106:S111">
    <cfRule type="expression" dxfId="5" priority="10" stopIfTrue="1">
      <formula>J105&gt;#REF!</formula>
    </cfRule>
  </conditionalFormatting>
  <conditionalFormatting sqref="K28 L29">
    <cfRule type="expression" dxfId="4" priority="96" stopIfTrue="1">
      <formula>$J$28&gt;5</formula>
    </cfRule>
  </conditionalFormatting>
  <conditionalFormatting sqref="L8:N9">
    <cfRule type="cellIs" dxfId="3" priority="5" operator="equal">
      <formula>0</formula>
    </cfRule>
  </conditionalFormatting>
  <conditionalFormatting sqref="L11:N11">
    <cfRule type="cellIs" dxfId="2" priority="4" operator="equal">
      <formula>0</formula>
    </cfRule>
  </conditionalFormatting>
  <conditionalFormatting sqref="L26:S26">
    <cfRule type="expression" dxfId="1" priority="110" stopIfTrue="1">
      <formula>L24&gt;#REF!</formula>
    </cfRule>
  </conditionalFormatting>
  <conditionalFormatting sqref="Q7:S8">
    <cfRule type="cellIs" dxfId="0" priority="2" operator="equal">
      <formula>0</formula>
    </cfRule>
  </conditionalFormatting>
  <dataValidations count="1">
    <dataValidation type="list" operator="greaterThan" allowBlank="1" showInputMessage="1" showErrorMessage="1" sqref="J28:J29" xr:uid="{00000000-0002-0000-0300-000000000000}">
      <formula1>"1,2,3,4,5,6,7,8,9,10,11,12"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EE"/>
  </sheetPr>
  <dimension ref="A1"/>
  <sheetViews>
    <sheetView workbookViewId="0"/>
  </sheetViews>
  <sheetFormatPr baseColWidth="10" defaultColWidth="11.44140625" defaultRowHeight="13.2" x14ac:dyDescent="0.25"/>
  <cols>
    <col min="1" max="16384" width="11.44140625" style="8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EEEE"/>
  </sheetPr>
  <dimension ref="A1:G71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1" ht="15" x14ac:dyDescent="0.25">
      <c r="A1" s="2"/>
    </row>
    <row r="31" spans="7:7" x14ac:dyDescent="0.25">
      <c r="G31" s="4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EEE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3" ht="15" x14ac:dyDescent="0.25">
      <c r="A1" s="6"/>
      <c r="B1" s="15"/>
      <c r="C1" s="7"/>
    </row>
    <row r="2" spans="1:3" x14ac:dyDescent="0.25">
      <c r="A2" s="7"/>
      <c r="B2" s="15"/>
      <c r="C2" s="7"/>
    </row>
    <row r="3" spans="1:3" x14ac:dyDescent="0.25">
      <c r="A3" s="7"/>
      <c r="B3" s="15"/>
      <c r="C3" s="7"/>
    </row>
    <row r="4" spans="1:3" x14ac:dyDescent="0.25">
      <c r="A4" s="7"/>
      <c r="B4" s="15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41" spans="7:7" x14ac:dyDescent="0.25">
      <c r="G41" s="4"/>
    </row>
    <row r="64" spans="7:7" x14ac:dyDescent="0.25">
      <c r="G6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EEE"/>
  </sheetPr>
  <dimension ref="B7:H11"/>
  <sheetViews>
    <sheetView workbookViewId="0"/>
  </sheetViews>
  <sheetFormatPr baseColWidth="10" defaultColWidth="11.44140625" defaultRowHeight="13.2" x14ac:dyDescent="0.25"/>
  <cols>
    <col min="1" max="1" width="9.109375" style="266" customWidth="1"/>
    <col min="2" max="8" width="25.6640625" style="266" customWidth="1"/>
    <col min="9" max="16384" width="11.44140625" style="266"/>
  </cols>
  <sheetData>
    <row r="7" spans="2:8" s="264" customFormat="1" ht="26.4" x14ac:dyDescent="0.25">
      <c r="B7" s="263" t="s">
        <v>166</v>
      </c>
      <c r="C7" s="263" t="s">
        <v>167</v>
      </c>
      <c r="D7" s="263" t="s">
        <v>168</v>
      </c>
      <c r="E7" s="263" t="s">
        <v>169</v>
      </c>
      <c r="F7" s="263" t="s">
        <v>170</v>
      </c>
      <c r="G7" s="263" t="s">
        <v>171</v>
      </c>
      <c r="H7" s="263" t="s">
        <v>172</v>
      </c>
    </row>
    <row r="8" spans="2:8" x14ac:dyDescent="0.25">
      <c r="B8" s="265" t="s">
        <v>221</v>
      </c>
      <c r="C8" s="265" t="s">
        <v>222</v>
      </c>
      <c r="D8" s="265" t="s">
        <v>206</v>
      </c>
      <c r="E8" s="265" t="s">
        <v>223</v>
      </c>
      <c r="F8" s="265" t="s">
        <v>224</v>
      </c>
      <c r="G8" s="265" t="s">
        <v>225</v>
      </c>
      <c r="H8" s="265" t="s">
        <v>226</v>
      </c>
    </row>
    <row r="9" spans="2:8" x14ac:dyDescent="0.25">
      <c r="B9" s="265" t="s">
        <v>227</v>
      </c>
      <c r="C9" s="265" t="s">
        <v>228</v>
      </c>
      <c r="D9" s="265" t="s">
        <v>229</v>
      </c>
      <c r="E9" s="265" t="s">
        <v>230</v>
      </c>
      <c r="F9" s="265" t="s">
        <v>231</v>
      </c>
      <c r="G9" s="265" t="s">
        <v>232</v>
      </c>
      <c r="H9" s="265" t="s">
        <v>233</v>
      </c>
    </row>
    <row r="10" spans="2:8" x14ac:dyDescent="0.25">
      <c r="B10" s="265"/>
      <c r="C10" s="265"/>
      <c r="D10" s="265"/>
      <c r="E10" s="265"/>
      <c r="F10" s="265"/>
      <c r="G10" s="265"/>
      <c r="H10" s="265"/>
    </row>
    <row r="11" spans="2:8" x14ac:dyDescent="0.25">
      <c r="B11" s="265"/>
      <c r="C11" s="265"/>
      <c r="D11" s="265"/>
      <c r="E11" s="265"/>
      <c r="F11" s="265"/>
      <c r="G11" s="265"/>
      <c r="H11" s="26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F4F4"/>
  </sheetPr>
  <dimension ref="A1:G67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2" ht="15" x14ac:dyDescent="0.25">
      <c r="A1" s="267"/>
    </row>
    <row r="7" spans="1:2" x14ac:dyDescent="0.25">
      <c r="A7" s="266"/>
      <c r="B7" s="266"/>
    </row>
    <row r="8" spans="1:2" x14ac:dyDescent="0.25">
      <c r="A8" s="266"/>
      <c r="B8" s="269" t="s">
        <v>206</v>
      </c>
    </row>
    <row r="9" spans="1:2" x14ac:dyDescent="0.25">
      <c r="A9" s="266"/>
      <c r="B9" s="270"/>
    </row>
    <row r="10" spans="1:2" x14ac:dyDescent="0.25">
      <c r="A10" s="266"/>
      <c r="B10" s="266"/>
    </row>
    <row r="11" spans="1:2" x14ac:dyDescent="0.25">
      <c r="A11" s="266"/>
      <c r="B11" s="266"/>
    </row>
    <row r="12" spans="1:2" x14ac:dyDescent="0.25">
      <c r="A12" s="266"/>
      <c r="B12" s="269" t="s">
        <v>234</v>
      </c>
    </row>
    <row r="13" spans="1:2" ht="14.4" x14ac:dyDescent="0.3">
      <c r="A13" s="266"/>
      <c r="B13" s="271"/>
    </row>
    <row r="14" spans="1:2" x14ac:dyDescent="0.25">
      <c r="A14" s="266"/>
      <c r="B14" s="266"/>
    </row>
    <row r="15" spans="1:2" x14ac:dyDescent="0.25">
      <c r="A15" s="266"/>
      <c r="B15" s="266"/>
    </row>
    <row r="16" spans="1:2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235</v>
      </c>
    </row>
    <row r="21" spans="1:2" ht="14.4" x14ac:dyDescent="0.3">
      <c r="A21" s="266"/>
      <c r="B21" s="271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220</v>
      </c>
    </row>
    <row r="28" spans="1:2" x14ac:dyDescent="0.25">
      <c r="A28" s="266"/>
      <c r="B28" s="266"/>
    </row>
    <row r="29" spans="1:2" x14ac:dyDescent="0.25">
      <c r="A29" s="266"/>
      <c r="B29" s="266"/>
    </row>
    <row r="59" spans="7:7" x14ac:dyDescent="0.25">
      <c r="G59" s="272"/>
    </row>
    <row r="60" spans="7:7" x14ac:dyDescent="0.25">
      <c r="G60" s="272"/>
    </row>
    <row r="61" spans="7:7" x14ac:dyDescent="0.25">
      <c r="G61" s="272"/>
    </row>
    <row r="62" spans="7:7" x14ac:dyDescent="0.25">
      <c r="G62" s="272"/>
    </row>
    <row r="63" spans="7:7" x14ac:dyDescent="0.25">
      <c r="G63" s="272"/>
    </row>
    <row r="64" spans="7:7" x14ac:dyDescent="0.25">
      <c r="G64" s="272"/>
    </row>
    <row r="65" spans="7:7" x14ac:dyDescent="0.25">
      <c r="G65" s="272"/>
    </row>
    <row r="66" spans="7:7" x14ac:dyDescent="0.25">
      <c r="G66" s="272"/>
    </row>
    <row r="67" spans="7:7" x14ac:dyDescent="0.25">
      <c r="G67" s="27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F4F4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3" ht="15" x14ac:dyDescent="0.25">
      <c r="A1" s="273"/>
      <c r="B1" s="274"/>
      <c r="C1" s="275"/>
    </row>
    <row r="2" spans="1:3" x14ac:dyDescent="0.25">
      <c r="A2" s="275"/>
      <c r="B2" s="274"/>
      <c r="C2" s="275"/>
    </row>
    <row r="3" spans="1:3" x14ac:dyDescent="0.25">
      <c r="A3" s="275"/>
      <c r="B3" s="274"/>
      <c r="C3" s="275"/>
    </row>
    <row r="4" spans="1:3" x14ac:dyDescent="0.25">
      <c r="A4" s="275"/>
      <c r="B4" s="274"/>
      <c r="C4" s="275"/>
    </row>
    <row r="5" spans="1:3" x14ac:dyDescent="0.25">
      <c r="A5" s="275"/>
      <c r="B5" s="275"/>
      <c r="C5" s="275"/>
    </row>
    <row r="6" spans="1:3" x14ac:dyDescent="0.25">
      <c r="A6" s="275"/>
      <c r="B6" s="275"/>
      <c r="C6" s="275"/>
    </row>
    <row r="7" spans="1:3" x14ac:dyDescent="0.25">
      <c r="A7" s="266"/>
      <c r="B7" s="266"/>
      <c r="C7" s="275"/>
    </row>
    <row r="8" spans="1:3" x14ac:dyDescent="0.25">
      <c r="A8" s="266"/>
      <c r="B8" s="269" t="s">
        <v>229</v>
      </c>
    </row>
    <row r="9" spans="1:3" x14ac:dyDescent="0.25">
      <c r="A9" s="266"/>
      <c r="B9" s="266"/>
    </row>
    <row r="10" spans="1:3" x14ac:dyDescent="0.25">
      <c r="A10" s="266"/>
      <c r="B10" s="266"/>
    </row>
    <row r="11" spans="1:3" x14ac:dyDescent="0.25">
      <c r="A11" s="266"/>
      <c r="B11" s="266"/>
    </row>
    <row r="12" spans="1:3" x14ac:dyDescent="0.25">
      <c r="A12" s="266"/>
      <c r="B12" s="269" t="s">
        <v>236</v>
      </c>
    </row>
    <row r="13" spans="1:3" x14ac:dyDescent="0.25">
      <c r="A13" s="266"/>
      <c r="B13" s="266"/>
    </row>
    <row r="14" spans="1:3" x14ac:dyDescent="0.25">
      <c r="A14" s="266"/>
      <c r="B14" s="266"/>
    </row>
    <row r="15" spans="1:3" x14ac:dyDescent="0.25">
      <c r="A15" s="266"/>
      <c r="B15" s="266"/>
    </row>
    <row r="16" spans="1:3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237</v>
      </c>
    </row>
    <row r="21" spans="1:2" x14ac:dyDescent="0.25">
      <c r="A21" s="266"/>
      <c r="B21" s="266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238</v>
      </c>
    </row>
    <row r="28" spans="1:2" x14ac:dyDescent="0.25">
      <c r="A28" s="266"/>
      <c r="B28" s="266"/>
    </row>
    <row r="29" spans="1:2" x14ac:dyDescent="0.25">
      <c r="A29" s="266"/>
      <c r="B29" s="266"/>
    </row>
    <row r="41" spans="7:7" x14ac:dyDescent="0.25">
      <c r="G41" s="276"/>
    </row>
    <row r="64" spans="7:7" x14ac:dyDescent="0.25">
      <c r="G64" s="2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EEEE"/>
  </sheetPr>
  <dimension ref="B1:G23"/>
  <sheetViews>
    <sheetView showGridLines="0" workbookViewId="0"/>
  </sheetViews>
  <sheetFormatPr baseColWidth="10" defaultColWidth="11.44140625" defaultRowHeight="13.2" x14ac:dyDescent="0.25"/>
  <cols>
    <col min="1" max="1" width="5.33203125" style="3" customWidth="1"/>
    <col min="2" max="2" width="63.5546875" style="13" customWidth="1"/>
    <col min="3" max="3" width="23.88671875" style="14" customWidth="1"/>
    <col min="4" max="16384" width="11.44140625" style="3"/>
  </cols>
  <sheetData>
    <row r="1" spans="2:7" ht="17.399999999999999" x14ac:dyDescent="0.25">
      <c r="B1" s="241" t="s">
        <v>173</v>
      </c>
      <c r="C1" s="242"/>
    </row>
    <row r="3" spans="2:7" ht="15.75" customHeight="1" x14ac:dyDescent="0.25">
      <c r="B3" s="235" t="s">
        <v>174</v>
      </c>
      <c r="C3" s="236" t="s">
        <v>175</v>
      </c>
    </row>
    <row r="4" spans="2:7" ht="15.75" customHeight="1" x14ac:dyDescent="0.25">
      <c r="B4" s="239" t="s">
        <v>176</v>
      </c>
      <c r="C4" s="240"/>
    </row>
    <row r="5" spans="2:7" ht="51" customHeight="1" x14ac:dyDescent="0.25">
      <c r="B5" s="366" t="s">
        <v>177</v>
      </c>
      <c r="C5" s="365"/>
    </row>
    <row r="6" spans="2:7" ht="15.75" customHeight="1" x14ac:dyDescent="0.25">
      <c r="B6" s="239" t="s">
        <v>178</v>
      </c>
      <c r="C6" s="240"/>
    </row>
    <row r="7" spans="2:7" ht="51.75" customHeight="1" x14ac:dyDescent="0.25">
      <c r="B7" s="367" t="s">
        <v>179</v>
      </c>
      <c r="C7" s="368"/>
    </row>
    <row r="8" spans="2:7" ht="15.75" customHeight="1" x14ac:dyDescent="0.25">
      <c r="B8" s="235" t="s">
        <v>180</v>
      </c>
      <c r="C8" s="236" t="s">
        <v>181</v>
      </c>
    </row>
    <row r="9" spans="2:7" ht="15.75" customHeight="1" x14ac:dyDescent="0.25">
      <c r="B9" s="239" t="s">
        <v>182</v>
      </c>
      <c r="C9" s="240"/>
    </row>
    <row r="10" spans="2:7" ht="92.25" customHeight="1" x14ac:dyDescent="0.25">
      <c r="B10" s="364" t="s">
        <v>183</v>
      </c>
      <c r="C10" s="365"/>
      <c r="G10" s="10"/>
    </row>
    <row r="11" spans="2:7" ht="15.75" customHeight="1" x14ac:dyDescent="0.25">
      <c r="B11" s="239" t="s">
        <v>184</v>
      </c>
      <c r="C11" s="240"/>
      <c r="G11" s="11"/>
    </row>
    <row r="12" spans="2:7" ht="77.25" customHeight="1" x14ac:dyDescent="0.25">
      <c r="B12" s="362" t="s">
        <v>185</v>
      </c>
      <c r="C12" s="363"/>
      <c r="G12" s="11"/>
    </row>
    <row r="13" spans="2:7" ht="15.75" customHeight="1" x14ac:dyDescent="0.25">
      <c r="B13" s="235" t="s">
        <v>186</v>
      </c>
      <c r="C13" s="236" t="s">
        <v>187</v>
      </c>
      <c r="G13" s="12"/>
    </row>
    <row r="14" spans="2:7" ht="15.75" customHeight="1" x14ac:dyDescent="0.25">
      <c r="B14" s="239" t="s">
        <v>188</v>
      </c>
      <c r="C14" s="240"/>
    </row>
    <row r="15" spans="2:7" ht="66.75" customHeight="1" x14ac:dyDescent="0.25">
      <c r="B15" s="364" t="s">
        <v>189</v>
      </c>
      <c r="C15" s="365"/>
    </row>
    <row r="16" spans="2:7" ht="15.75" customHeight="1" x14ac:dyDescent="0.25">
      <c r="B16" s="239" t="s">
        <v>190</v>
      </c>
      <c r="C16" s="240"/>
    </row>
    <row r="17" spans="2:3" ht="56.25" customHeight="1" x14ac:dyDescent="0.25">
      <c r="B17" s="362" t="s">
        <v>191</v>
      </c>
      <c r="C17" s="363"/>
    </row>
    <row r="18" spans="2:3" ht="15.75" customHeight="1" x14ac:dyDescent="0.25">
      <c r="B18" s="235" t="s">
        <v>192</v>
      </c>
      <c r="C18" s="236" t="s">
        <v>193</v>
      </c>
    </row>
    <row r="19" spans="2:3" ht="17.25" customHeight="1" x14ac:dyDescent="0.25">
      <c r="B19" s="369" t="s">
        <v>239</v>
      </c>
      <c r="C19" s="370"/>
    </row>
    <row r="20" spans="2:3" ht="15.75" customHeight="1" x14ac:dyDescent="0.25">
      <c r="B20" s="235" t="s">
        <v>194</v>
      </c>
      <c r="C20" s="236" t="s">
        <v>195</v>
      </c>
    </row>
    <row r="21" spans="2:3" ht="19.5" customHeight="1" x14ac:dyDescent="0.25">
      <c r="B21" s="369" t="s">
        <v>240</v>
      </c>
      <c r="C21" s="370"/>
    </row>
    <row r="22" spans="2:3" ht="15.75" customHeight="1" x14ac:dyDescent="0.25">
      <c r="B22" s="237" t="s">
        <v>196</v>
      </c>
      <c r="C22" s="238" t="s">
        <v>197</v>
      </c>
    </row>
    <row r="23" spans="2:3" ht="29.25" customHeight="1" x14ac:dyDescent="0.25">
      <c r="B23" s="362" t="s">
        <v>198</v>
      </c>
      <c r="C23" s="363"/>
    </row>
  </sheetData>
  <mergeCells count="9">
    <mergeCell ref="B23:C23"/>
    <mergeCell ref="B12:C12"/>
    <mergeCell ref="B15:C15"/>
    <mergeCell ref="B17:C17"/>
    <mergeCell ref="B5:C5"/>
    <mergeCell ref="B7:C7"/>
    <mergeCell ref="B10:C10"/>
    <mergeCell ref="B19:C19"/>
    <mergeCell ref="B21:C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Selection lists</vt:lpstr>
      <vt:lpstr>Upload</vt:lpstr>
      <vt:lpstr>Summary</vt:lpstr>
      <vt:lpstr>Costs &amp; Benefits</vt:lpstr>
      <vt:lpstr>Project Description</vt:lpstr>
      <vt:lpstr>Project Cost Description</vt:lpstr>
      <vt:lpstr>Benefit Calculation</vt:lpstr>
      <vt:lpstr>List of Demands</vt:lpstr>
      <vt:lpstr>Demand N°1 Benefit</vt:lpstr>
      <vt:lpstr>Demand N°2 Benefit</vt:lpstr>
      <vt:lpstr>Definition_Service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Baumann, Antje (201) (EXT)</cp:lastModifiedBy>
  <dcterms:created xsi:type="dcterms:W3CDTF">2026-09-06T10:09:02Z</dcterms:created>
  <dcterms:modified xsi:type="dcterms:W3CDTF">2026-09-06T10:09:02Z</dcterms:modified>
</cp:coreProperties>
</file>