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CATALYST – RPA in der Kreditorenbuchhaltung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Agnieszka Malinowska (Head SSC Krakau)</t>
        </is>
      </c>
    </row>
    <row r="5">
      <c r="A5" s="3" t="inlineStr">
        <is>
          <t>MCC Decision item ID</t>
        </is>
      </c>
      <c r="B5" t="inlineStr">
        <is>
          <t>4056</t>
        </is>
      </c>
      <c r="D5" s="3" t="inlineStr">
        <is>
          <t>Project Sponsor</t>
        </is>
      </c>
      <c r="E5" t="inlineStr">
        <is>
          <t>Dr. Markus Feldhaus (CFO)</t>
        </is>
      </c>
    </row>
    <row r="6">
      <c r="A6" s="3" t="inlineStr">
        <is>
          <t>Project Number(s)</t>
        </is>
      </c>
      <c r="B6" t="inlineStr">
        <is>
          <t>BC-2026-0533.1</t>
        </is>
      </c>
      <c r="D6" s="3" t="inlineStr">
        <is>
          <t>Creation date</t>
        </is>
      </c>
      <c r="E6" t="inlineStr">
        <is>
          <t>2026-08-14</t>
        </is>
      </c>
    </row>
    <row r="7">
      <c r="A7" s="3" t="inlineStr">
        <is>
          <t>Project Name</t>
        </is>
      </c>
      <c r="B7" t="inlineStr">
        <is>
          <t>CATALYST – RPA in der Kreditorenbuchhaltung</t>
        </is>
      </c>
      <c r="D7" s="3" t="inlineStr">
        <is>
          <t>Start (FY)</t>
        </is>
      </c>
      <c r="E7" t="n">
        <v>2026</v>
      </c>
    </row>
    <row r="8">
      <c r="A8" s="3" t="inlineStr">
        <is>
          <t>Program Name</t>
        </is>
      </c>
      <c r="B8" t="inlineStr">
        <is>
          <t>VELTRAX Corporate Services GmbH – Shared Services Finance</t>
        </is>
      </c>
      <c r="D8" s="3" t="inlineStr">
        <is>
          <t>Go-Live (FY)</t>
        </is>
      </c>
      <c r="E8" t="n">
        <v>2026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EUR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140000</v>
      </c>
      <c r="C14" s="6" t="n">
        <v>80000</v>
      </c>
      <c r="D14" s="6" t="n">
        <v>80000</v>
      </c>
      <c r="E14" s="6" t="n">
        <v>80000</v>
      </c>
      <c r="F14" s="6" t="n">
        <v>80000</v>
      </c>
      <c r="G14" s="6" t="n">
        <v>80000</v>
      </c>
      <c r="H14" s="6" t="n">
        <v>80000</v>
      </c>
      <c r="I14" s="6" t="n">
        <v>80000</v>
      </c>
      <c r="J14" s="6" t="n">
        <v>80000</v>
      </c>
      <c r="K14" s="6" t="n">
        <v>80000</v>
      </c>
      <c r="L14" s="7">
        <f>SUM(B14:K14)</f>
        <v/>
      </c>
    </row>
    <row r="15">
      <c r="A15" s="5" t="inlineStr">
        <is>
          <t>Depreciation</t>
        </is>
      </c>
      <c r="B15" s="6" t="n">
        <v>46000</v>
      </c>
      <c r="C15" s="6" t="n">
        <v>46000</v>
      </c>
      <c r="D15" s="6" t="n">
        <v>46000</v>
      </c>
      <c r="E15" s="6" t="n">
        <v>46000</v>
      </c>
      <c r="F15" s="6" t="n">
        <v>46000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>
        <f>SUM(B16:K16)</f>
        <v/>
      </c>
    </row>
    <row r="17">
      <c r="A17" s="5" t="inlineStr">
        <is>
          <t>Sales benefits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>
        <f>SUM(B17:K17)</f>
        <v/>
      </c>
    </row>
    <row r="18">
      <c r="A18" s="5" t="inlineStr">
        <is>
          <t>Cost savings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>
        <f>E19-E16</f>
        <v/>
      </c>
      <c r="F20" s="6">
        <f>F19-F16</f>
        <v/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1090000</v>
      </c>
    </row>
    <row r="24">
      <c r="A24" s="3" t="inlineStr">
        <is>
          <t>Total benefits (all years)</t>
        </is>
      </c>
      <c r="B24" s="8" t="n">
        <v>0</v>
      </c>
    </row>
    <row r="25">
      <c r="A25" s="3" t="inlineStr">
        <is>
          <t>EBIT (all years)</t>
        </is>
      </c>
      <c r="B25" s="6" t="n">
        <v>-1090000</v>
      </c>
    </row>
    <row r="26">
      <c r="A26" s="3" t="inlineStr">
        <is>
          <t>Discounted EVA cumulated (all years)</t>
        </is>
      </c>
      <c r="B26" s="6" t="n">
        <v>-641723</v>
      </c>
    </row>
    <row r="27">
      <c r="A27" s="3" t="inlineStr">
        <is>
          <t>ROI (all years)</t>
        </is>
      </c>
      <c r="B27" s="8" t="n">
        <v>2.41</v>
      </c>
    </row>
    <row r="28">
      <c r="A28" s="3" t="inlineStr">
        <is>
          <t>Payback Period (months)</t>
        </is>
      </c>
      <c r="B28" s="8" t="n">
        <v>18</v>
      </c>
    </row>
    <row r="29">
      <c r="A29" s="3" t="inlineStr">
        <is>
          <t>Tax Rate</t>
        </is>
      </c>
      <c r="B29" s="9" t="n">
        <v>0.2693868692901478</v>
      </c>
    </row>
    <row r="30">
      <c r="A30" s="3" t="inlineStr">
        <is>
          <t>WACC</t>
        </is>
      </c>
      <c r="B30" s="9" t="n">
        <v>0.05810442489667973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-186000</v>
      </c>
      <c r="C4" s="6" t="n">
        <v>-126000</v>
      </c>
      <c r="D4" s="6" t="n">
        <v>-126000</v>
      </c>
      <c r="E4" s="6" t="n">
        <v>-126000</v>
      </c>
      <c r="F4" s="6" t="n">
        <v>-126000</v>
      </c>
      <c r="G4" s="6" t="n">
        <v>-80000</v>
      </c>
      <c r="H4" s="6" t="n">
        <v>-80000</v>
      </c>
      <c r="I4" s="6" t="n">
        <v>-80000</v>
      </c>
      <c r="J4" s="6" t="n">
        <v>-80000</v>
      </c>
      <c r="K4" s="6" t="n">
        <v>-80000</v>
      </c>
      <c r="L4" s="6">
        <f>SUM(B4:K4)</f>
        <v/>
      </c>
    </row>
    <row r="5">
      <c r="A5" t="inlineStr">
        <is>
          <t>Calculated Tax</t>
        </is>
      </c>
      <c r="B5" s="6" t="n">
        <v>50106</v>
      </c>
      <c r="C5" s="6" t="n">
        <v>33943</v>
      </c>
      <c r="D5" s="6" t="n">
        <v>33943</v>
      </c>
      <c r="E5" s="6" t="n">
        <v>33943</v>
      </c>
      <c r="F5" s="6" t="n">
        <v>33943</v>
      </c>
      <c r="G5" s="6" t="n">
        <v>21551</v>
      </c>
      <c r="H5" s="6" t="n">
        <v>21551</v>
      </c>
      <c r="I5" s="6" t="n">
        <v>21551</v>
      </c>
      <c r="J5" s="6" t="n">
        <v>21551</v>
      </c>
      <c r="K5" s="6" t="n">
        <v>21551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-135894</v>
      </c>
      <c r="C6" s="6" t="n">
        <v>-92057</v>
      </c>
      <c r="D6" s="6" t="n">
        <v>-92057</v>
      </c>
      <c r="E6" s="6" t="n">
        <v>-92057</v>
      </c>
      <c r="F6" s="6" t="n">
        <v>-92057</v>
      </c>
      <c r="G6" s="6" t="n">
        <v>-58449</v>
      </c>
      <c r="H6" s="6" t="n">
        <v>-58449</v>
      </c>
      <c r="I6" s="6" t="n">
        <v>-58449</v>
      </c>
      <c r="J6" s="6" t="n">
        <v>-58449</v>
      </c>
      <c r="K6" s="6" t="n">
        <v>-58449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184000</v>
      </c>
      <c r="C7" s="6" t="n">
        <v>138000</v>
      </c>
      <c r="D7" s="6" t="n">
        <v>92000</v>
      </c>
      <c r="E7" s="6" t="n">
        <v>46000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-10691</v>
      </c>
      <c r="C8" s="6" t="n">
        <v>-8018</v>
      </c>
      <c r="D8" s="6" t="n">
        <v>-5346</v>
      </c>
      <c r="E8" s="6" t="n">
        <v>-2673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-146585</v>
      </c>
      <c r="C9" s="6" t="n">
        <v>-100076</v>
      </c>
      <c r="D9" s="6" t="n">
        <v>-97403</v>
      </c>
      <c r="E9" s="6" t="n">
        <v>-94730</v>
      </c>
      <c r="F9" s="6" t="n">
        <v>-92057</v>
      </c>
      <c r="G9" s="6" t="n">
        <v>-58449</v>
      </c>
      <c r="H9" s="6" t="n">
        <v>-58449</v>
      </c>
      <c r="I9" s="6" t="n">
        <v>-58449</v>
      </c>
      <c r="J9" s="6" t="n">
        <v>-58449</v>
      </c>
      <c r="K9" s="6" t="n">
        <v>-58449</v>
      </c>
      <c r="L9" s="6">
        <f>SUM(B9:K9)</f>
        <v/>
      </c>
    </row>
    <row r="10">
      <c r="A10" t="inlineStr">
        <is>
          <t>Discounted EVA per period</t>
        </is>
      </c>
      <c r="B10" s="6" t="n">
        <v>-138536</v>
      </c>
      <c r="C10" s="6" t="n">
        <v>-89386</v>
      </c>
      <c r="D10" s="6" t="n">
        <v>-82222</v>
      </c>
      <c r="E10" s="6" t="n">
        <v>-75574</v>
      </c>
      <c r="F10" s="6" t="n">
        <v>-69409</v>
      </c>
      <c r="G10" s="6" t="n">
        <v>-41649</v>
      </c>
      <c r="H10" s="6" t="n">
        <v>-39362</v>
      </c>
      <c r="I10" s="6" t="n">
        <v>-37201</v>
      </c>
      <c r="J10" s="6" t="n">
        <v>-35158</v>
      </c>
      <c r="K10" s="6" t="n">
        <v>-33227</v>
      </c>
      <c r="L10" s="6">
        <f>SUM(B10:K10)</f>
        <v/>
      </c>
    </row>
    <row r="11">
      <c r="A11" t="inlineStr">
        <is>
          <t>Discounted EVA cumulated</t>
        </is>
      </c>
      <c r="B11" s="6" t="n">
        <v>-138536</v>
      </c>
      <c r="C11" s="6" t="n">
        <v>-227922</v>
      </c>
      <c r="D11" s="6" t="n">
        <v>-310144</v>
      </c>
      <c r="E11" s="6" t="n">
        <v>-385718</v>
      </c>
      <c r="F11" s="6" t="n">
        <v>-455127</v>
      </c>
      <c r="G11" s="6" t="n">
        <v>-496776</v>
      </c>
      <c r="H11" s="6" t="n">
        <v>-536138</v>
      </c>
      <c r="I11" s="6" t="n">
        <v>-573339</v>
      </c>
      <c r="J11" s="6" t="n">
        <v>-608496</v>
      </c>
      <c r="K11" s="6" t="n">
        <v>-641723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10" t="n">
        <v>0.2693868692901478</v>
      </c>
      <c r="D15" t="inlineStr">
        <is>
          <t>WACC:</t>
        </is>
      </c>
      <c r="E15" s="10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90000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110000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>
        <is>
          <t>Software licences / tooling</t>
        </is>
      </c>
      <c r="E4" s="6" t="n">
        <v>30000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/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40000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20000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35000</v>
      </c>
      <c r="F8" s="6" t="n">
        <v>35000</v>
      </c>
      <c r="G8" s="6" t="n">
        <v>35000</v>
      </c>
      <c r="H8" s="6" t="n">
        <v>35000</v>
      </c>
      <c r="I8" s="6" t="n">
        <v>35000</v>
      </c>
      <c r="J8" s="6" t="n">
        <v>35000</v>
      </c>
      <c r="K8" s="6" t="n">
        <v>35000</v>
      </c>
      <c r="L8" s="6" t="n">
        <v>35000</v>
      </c>
      <c r="M8" s="6" t="n">
        <v>35000</v>
      </c>
      <c r="N8" s="6" t="n">
        <v>35000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>
        <is>
          <t>SaaS / cloud services</t>
        </is>
      </c>
      <c r="E9" s="6" t="n">
        <v>45000</v>
      </c>
      <c r="F9" s="6" t="n">
        <v>45000</v>
      </c>
      <c r="G9" s="6" t="n">
        <v>45000</v>
      </c>
      <c r="H9" s="6" t="n">
        <v>45000</v>
      </c>
      <c r="I9" s="6" t="n">
        <v>45000</v>
      </c>
      <c r="J9" s="6" t="n">
        <v>45000</v>
      </c>
      <c r="K9" s="6" t="n">
        <v>45000</v>
      </c>
      <c r="L9" s="6" t="n">
        <v>45000</v>
      </c>
      <c r="M9" s="6" t="n">
        <v>45000</v>
      </c>
      <c r="N9" s="6" t="n">
        <v>45000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/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</row>
    <row r="11">
      <c r="A11" t="n">
        <v>20</v>
      </c>
      <c r="B11" t="inlineStr">
        <is>
          <t>Cost Savings</t>
        </is>
      </c>
      <c r="D11" t="inlineStr">
        <is>
          <t>Freigesetzte Kapazität 6,5 FTE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t="n">
        <v>21</v>
      </c>
      <c r="B12" t="inlineStr">
        <is>
          <t>Cost Savings</t>
        </is>
      </c>
      <c r="D12" t="inlineStr">
        <is>
          <t>Reduzierte Skontoverluste durch schnellere Verbuchung</t>
        </is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</row>
    <row r="13">
      <c r="A13" t="n">
        <v>26</v>
      </c>
      <c r="B13" t="inlineStr">
        <is>
          <t>Non-quantitative Benefits</t>
        </is>
      </c>
      <c r="D13" t="inlineStr">
        <is>
          <t>Skalierbarkeit SSC; Mitarbeiterentlastung von Routine.</t>
        </is>
      </c>
    </row>
    <row r="14">
      <c r="A14" t="n">
        <v>31</v>
      </c>
      <c r="B14" t="inlineStr">
        <is>
          <t>Project Number</t>
        </is>
      </c>
      <c r="D14" t="inlineStr">
        <is>
          <t>BC-2026-0533.1</t>
        </is>
      </c>
    </row>
    <row r="15">
      <c r="A15" t="n">
        <v>32</v>
      </c>
      <c r="B15" t="inlineStr">
        <is>
          <t>Start FY</t>
        </is>
      </c>
      <c r="D15" t="n">
        <v>2026</v>
      </c>
    </row>
    <row r="16">
      <c r="A16" t="n">
        <v>33</v>
      </c>
      <c r="B16" t="inlineStr">
        <is>
          <t>Go-Live FY</t>
        </is>
      </c>
      <c r="D16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1" t="inlineStr">
        <is>
          <t>Project Name</t>
        </is>
      </c>
      <c r="B1" s="12" t="inlineStr">
        <is>
          <t>CATALYST – RPA in der Kreditorenbuchhaltung</t>
        </is>
      </c>
    </row>
    <row r="2">
      <c r="A2" s="11" t="inlineStr">
        <is>
          <t>Project Number</t>
        </is>
      </c>
      <c r="B2" s="12" t="inlineStr">
        <is>
          <t>BC-2026-0533.1</t>
        </is>
      </c>
    </row>
    <row r="3">
      <c r="A3" s="11" t="inlineStr">
        <is>
          <t>Partner / Operating</t>
        </is>
      </c>
      <c r="B3" s="12" t="inlineStr">
        <is>
          <t>VELTRAX Corporate Services GmbH</t>
        </is>
      </c>
    </row>
    <row r="4">
      <c r="A4" s="11" t="inlineStr">
        <is>
          <t>Requesting Unit</t>
        </is>
      </c>
      <c r="B4" s="12" t="inlineStr">
        <is>
          <t>Shared Services Finance</t>
        </is>
      </c>
    </row>
    <row r="5">
      <c r="A5" s="11" t="inlineStr">
        <is>
          <t>Project Sponsor</t>
        </is>
      </c>
      <c r="B5" s="12" t="inlineStr">
        <is>
          <t>Dr. Markus Feldhaus (CFO)</t>
        </is>
      </c>
    </row>
    <row r="6">
      <c r="A6" s="11" t="inlineStr">
        <is>
          <t>Project Manager</t>
        </is>
      </c>
      <c r="B6" s="12" t="inlineStr">
        <is>
          <t>Agnieszka Malinowska (Head SSC Krakau)</t>
        </is>
      </c>
    </row>
    <row r="7">
      <c r="A7" s="11" t="inlineStr">
        <is>
          <t>Lead - Affected Countries</t>
        </is>
      </c>
      <c r="B7" s="12" t="inlineStr">
        <is>
          <t>CORP; PL; DE</t>
        </is>
      </c>
    </row>
    <row r="8">
      <c r="A8" s="11" t="inlineStr">
        <is>
          <t>Description</t>
        </is>
      </c>
      <c r="B8" s="12" t="inlineStr">
        <is>
          <t>Automatisierung von 14 repetitiven Prozessen in der Kreditorenbuchhaltung (Rechnungsvorerfassung, Mahnungsabgleich, Zahlungsavis-Zuordnung, Stammdatenprüfung) mit Software-Robotern im Shared Service Center Krakau.</t>
        </is>
      </c>
    </row>
    <row r="9">
      <c r="A9" s="11" t="inlineStr">
        <is>
          <t>Objective (OKR/VCP)</t>
        </is>
      </c>
      <c r="B9" s="12" t="inlineStr">
        <is>
          <t>OBJ-115 – Touchless Invoice Rate 60 %.</t>
        </is>
      </c>
    </row>
    <row r="10">
      <c r="A10" s="11" t="inlineStr">
        <is>
          <t>Metrics</t>
        </is>
      </c>
      <c r="B10" s="12" t="inlineStr">
        <is>
          <t>Touchless-Rate von 22 % auf 60 %; Freigesetzte Kapazität 6,5 FTE; Fehlerquote Buchungen −40 %</t>
        </is>
      </c>
    </row>
    <row r="11">
      <c r="A11" s="11" t="inlineStr">
        <is>
          <t>Planned Deliverables</t>
        </is>
      </c>
      <c r="B11" s="12" t="inlineStr">
        <is>
          <t>Prozessanalyse und Priorisierung; Entwicklung 14 Bots; Betriebsmodell Bot-Monitoring</t>
        </is>
      </c>
    </row>
    <row r="12">
      <c r="A12" s="11" t="inlineStr">
        <is>
          <t>Business Processes affected</t>
        </is>
      </c>
      <c r="B12" s="12" t="inlineStr">
        <is>
          <t>Procure-to-Pay, Kreditorenbuchhaltung, Zahlungsverkehr.</t>
        </is>
      </c>
    </row>
    <row r="13">
      <c r="A13" s="11" t="inlineStr">
        <is>
          <t>Organisational Units affected</t>
        </is>
      </c>
      <c r="B13" s="12" t="inlineStr">
        <is>
          <t>SSC Krakau, Group Finance, Corporate IT (Automation CoE).</t>
        </is>
      </c>
    </row>
    <row r="14">
      <c r="A14" s="11" t="inlineStr">
        <is>
          <t>Technical Dependencies</t>
        </is>
      </c>
      <c r="B14" s="12" t="inlineStr">
        <is>
          <t>Stabilität der ERP-Oberflächen bis ORBIT-Migration; danach Bot-Anpassung nötig.</t>
        </is>
      </c>
    </row>
    <row r="15">
      <c r="A15" s="11" t="inlineStr">
        <is>
          <t>Organisational Dependencies</t>
        </is>
      </c>
      <c r="B15" s="12" t="inlineStr">
        <is>
          <t>Betriebsrat PL; Umschulung der betroffenen Mitarbeiter.</t>
        </is>
      </c>
    </row>
    <row r="16">
      <c r="A16" s="11" t="inlineStr">
        <is>
          <t>Risks</t>
        </is>
      </c>
      <c r="B16" s="12" t="inlineStr">
        <is>
          <t>Bots brechen bei ERP-Migration (ORBIT); Prozesse zu variantenreich für RPA</t>
        </is>
      </c>
    </row>
    <row r="17">
      <c r="A17" s="11" t="inlineStr">
        <is>
          <t>Justification</t>
        </is>
      </c>
      <c r="B17" s="12" t="inlineStr">
        <is>
          <t>Das SSC kann das Volumenwachstum (+18 % Belege p.a.) nicht mehr über Personal abfangen.</t>
        </is>
      </c>
    </row>
    <row r="18">
      <c r="A18" s="11" t="inlineStr">
        <is>
          <t>Vendor / Product Information</t>
        </is>
      </c>
      <c r="B18" s="12" t="inlineStr">
        <is>
          <t>UiPath (bestehende Lizenzen Automation CoE).</t>
        </is>
      </c>
    </row>
    <row r="20">
      <c r="A20" s="13" t="inlineStr">
        <is>
          <t>Hinweis</t>
        </is>
      </c>
      <c r="B20" s="13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2026-09-06T10:22:31Z</dcterms:created>
  <dcterms:modified xmlns:dcterms="http://purl.org/dc/terms/" xmlns:xsi="http://www.w3.org/2001/XMLSchema-instance" xsi:type="dcterms:W3CDTF">2026-09-06T10:22:31Z</dcterms:modified>
</cp:coreProperties>
</file>