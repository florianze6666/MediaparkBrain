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LUMEN – Rechenzentrumskonsolidierung Neuss nach Colocation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Marco Steinbach</t>
        </is>
      </c>
    </row>
    <row r="5">
      <c r="A5" s="3" t="inlineStr">
        <is>
          <t>MCC Decision item ID</t>
        </is>
      </c>
      <c r="B5" t="inlineStr">
        <is>
          <t>4168</t>
        </is>
      </c>
      <c r="D5" s="3" t="inlineStr">
        <is>
          <t>Project Sponsor</t>
        </is>
      </c>
      <c r="E5" t="inlineStr">
        <is>
          <t>Ulrike Hessler (Head of IT Infrastructure)</t>
        </is>
      </c>
    </row>
    <row r="6">
      <c r="A6" s="3" t="inlineStr">
        <is>
          <t>Project Number(s)</t>
        </is>
      </c>
      <c r="B6" t="inlineStr">
        <is>
          <t>BC-2026-0624.1</t>
        </is>
      </c>
      <c r="D6" s="3" t="inlineStr">
        <is>
          <t>Creation date</t>
        </is>
      </c>
      <c r="E6" t="inlineStr">
        <is>
          <t>2026-08-14</t>
        </is>
      </c>
    </row>
    <row r="7">
      <c r="A7" s="3" t="inlineStr">
        <is>
          <t>Project Name</t>
        </is>
      </c>
      <c r="B7" t="inlineStr">
        <is>
          <t>LUMEN – Rechenzentrumskonsolidierung Neuss nach Colocation</t>
        </is>
      </c>
      <c r="D7" s="3" t="inlineStr">
        <is>
          <t>Start (FY)</t>
        </is>
      </c>
      <c r="E7" t="n">
        <v>2027</v>
      </c>
    </row>
    <row r="8">
      <c r="A8" s="3" t="inlineStr">
        <is>
          <t>Program Name</t>
        </is>
      </c>
      <c r="B8" t="inlineStr">
        <is>
          <t>VELTRAX Corporate Services GmbH – Corporate IT – Infrastructure</t>
        </is>
      </c>
      <c r="D8" s="3" t="inlineStr">
        <is>
          <t>Go-Live (FY)</t>
        </is>
      </c>
      <c r="E8" t="n">
        <v>2028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0</v>
      </c>
      <c r="C14" s="6" t="n">
        <v>170000</v>
      </c>
      <c r="D14" s="6" t="n">
        <v>270000</v>
      </c>
      <c r="E14" s="6" t="n">
        <v>270000</v>
      </c>
      <c r="F14" s="6" t="n">
        <v>270000</v>
      </c>
      <c r="G14" s="6" t="n">
        <v>270000</v>
      </c>
      <c r="H14" s="6" t="n">
        <v>270000</v>
      </c>
      <c r="I14" s="6" t="n">
        <v>270000</v>
      </c>
      <c r="J14" s="6" t="n">
        <v>270000</v>
      </c>
      <c r="K14" s="6" t="n">
        <v>270000</v>
      </c>
      <c r="L14" s="7">
        <f>SUM(B14:K14)</f>
        <v/>
      </c>
    </row>
    <row r="15">
      <c r="A15" s="5" t="inlineStr">
        <is>
          <t>Depreciation</t>
        </is>
      </c>
      <c r="B15" s="6" t="n">
        <v>0</v>
      </c>
      <c r="C15" s="6" t="n">
        <v>73000</v>
      </c>
      <c r="D15" s="6" t="n">
        <v>131400</v>
      </c>
      <c r="E15" s="6" t="n">
        <v>131400</v>
      </c>
      <c r="F15" s="6" t="n">
        <v>131400</v>
      </c>
      <c r="G15" s="6" t="n">
        <v>131400</v>
      </c>
      <c r="H15" s="6" t="n">
        <v>131400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0</v>
      </c>
      <c r="D18" s="6" t="n">
        <v>400000</v>
      </c>
      <c r="E18" s="6" t="n">
        <v>800000</v>
      </c>
      <c r="F18" s="6" t="n">
        <v>800000</v>
      </c>
      <c r="G18" s="6" t="n">
        <v>800000</v>
      </c>
      <c r="H18" s="6" t="n">
        <v>800000</v>
      </c>
      <c r="I18" s="6" t="n">
        <v>800000</v>
      </c>
      <c r="J18" s="6" t="n">
        <v>800000</v>
      </c>
      <c r="K18" s="6" t="n">
        <v>800000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3060000</v>
      </c>
    </row>
    <row r="24">
      <c r="A24" s="3" t="inlineStr">
        <is>
          <t>Total benefits (all years)</t>
        </is>
      </c>
      <c r="B24" s="6" t="n">
        <v>6000000</v>
      </c>
    </row>
    <row r="25">
      <c r="A25" s="3" t="inlineStr">
        <is>
          <t>EBIT (all years)</t>
        </is>
      </c>
      <c r="B25" s="6" t="n">
        <v>2940000</v>
      </c>
    </row>
    <row r="26">
      <c r="A26" s="3" t="inlineStr">
        <is>
          <t>Discounted EVA cumulated (all years)</t>
        </is>
      </c>
      <c r="B26" s="6" t="n">
        <v>1300506</v>
      </c>
    </row>
    <row r="27">
      <c r="A27" s="3" t="inlineStr">
        <is>
          <t>ROI (all years)</t>
        </is>
      </c>
      <c r="B27" s="8" t="n">
        <v>0.96</v>
      </c>
    </row>
    <row r="28">
      <c r="A28" s="3" t="inlineStr">
        <is>
          <t>Payback Period (months)</t>
        </is>
      </c>
      <c r="B28" s="9" t="n">
        <v>0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0</v>
      </c>
      <c r="C4" s="6" t="n">
        <v>-243000</v>
      </c>
      <c r="D4" s="6" t="n">
        <v>-1400</v>
      </c>
      <c r="E4" s="6" t="n">
        <v>398600</v>
      </c>
      <c r="F4" s="6" t="n">
        <v>398600</v>
      </c>
      <c r="G4" s="6" t="n">
        <v>398600</v>
      </c>
      <c r="H4" s="6" t="n">
        <v>398600</v>
      </c>
      <c r="I4" s="6" t="n">
        <v>530000</v>
      </c>
      <c r="J4" s="6" t="n">
        <v>530000</v>
      </c>
      <c r="K4" s="6" t="n">
        <v>530000</v>
      </c>
      <c r="L4" s="6">
        <f>SUM(B4:K4)</f>
        <v/>
      </c>
    </row>
    <row r="5">
      <c r="A5" t="inlineStr">
        <is>
          <t>Calculated Tax</t>
        </is>
      </c>
      <c r="B5" s="6" t="n">
        <v>0</v>
      </c>
      <c r="C5" s="6" t="n">
        <v>65461</v>
      </c>
      <c r="D5" s="6" t="n">
        <v>377</v>
      </c>
      <c r="E5" s="6" t="n">
        <v>-107378</v>
      </c>
      <c r="F5" s="6" t="n">
        <v>-107378</v>
      </c>
      <c r="G5" s="6" t="n">
        <v>-107378</v>
      </c>
      <c r="H5" s="6" t="n">
        <v>-107378</v>
      </c>
      <c r="I5" s="6" t="n">
        <v>-142775</v>
      </c>
      <c r="J5" s="6" t="n">
        <v>-142775</v>
      </c>
      <c r="K5" s="6" t="n">
        <v>-142775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0</v>
      </c>
      <c r="C6" s="6" t="n">
        <v>-177539</v>
      </c>
      <c r="D6" s="6" t="n">
        <v>-1023</v>
      </c>
      <c r="E6" s="6" t="n">
        <v>291222</v>
      </c>
      <c r="F6" s="6" t="n">
        <v>291222</v>
      </c>
      <c r="G6" s="6" t="n">
        <v>291222</v>
      </c>
      <c r="H6" s="6" t="n">
        <v>291222</v>
      </c>
      <c r="I6" s="6" t="n">
        <v>387225</v>
      </c>
      <c r="J6" s="6" t="n">
        <v>387225</v>
      </c>
      <c r="K6" s="6" t="n">
        <v>387225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0</v>
      </c>
      <c r="C7" s="6" t="n">
        <v>657000</v>
      </c>
      <c r="D7" s="6" t="n">
        <v>525600</v>
      </c>
      <c r="E7" s="6" t="n">
        <v>394200</v>
      </c>
      <c r="F7" s="6" t="n">
        <v>262800</v>
      </c>
      <c r="G7" s="6" t="n">
        <v>131400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0</v>
      </c>
      <c r="C8" s="6" t="n">
        <v>-38175</v>
      </c>
      <c r="D8" s="6" t="n">
        <v>-30540</v>
      </c>
      <c r="E8" s="6" t="n">
        <v>-22905</v>
      </c>
      <c r="F8" s="6" t="n">
        <v>-15270</v>
      </c>
      <c r="G8" s="6" t="n">
        <v>-7635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0</v>
      </c>
      <c r="C9" s="6" t="n">
        <v>-215714</v>
      </c>
      <c r="D9" s="6" t="n">
        <v>-31563</v>
      </c>
      <c r="E9" s="6" t="n">
        <v>268318</v>
      </c>
      <c r="F9" s="6" t="n">
        <v>275953</v>
      </c>
      <c r="G9" s="6" t="n">
        <v>283587</v>
      </c>
      <c r="H9" s="6" t="n">
        <v>291222</v>
      </c>
      <c r="I9" s="6" t="n">
        <v>387225</v>
      </c>
      <c r="J9" s="6" t="n">
        <v>387225</v>
      </c>
      <c r="K9" s="6" t="n">
        <v>387225</v>
      </c>
      <c r="L9" s="6">
        <f>SUM(B9:K9)</f>
        <v/>
      </c>
    </row>
    <row r="10">
      <c r="A10" t="inlineStr">
        <is>
          <t>Discounted EVA per period</t>
        </is>
      </c>
      <c r="B10" s="6" t="n">
        <v>0</v>
      </c>
      <c r="C10" s="6" t="n">
        <v>-192673</v>
      </c>
      <c r="D10" s="6" t="n">
        <v>-26643</v>
      </c>
      <c r="E10" s="6" t="n">
        <v>214060</v>
      </c>
      <c r="F10" s="6" t="n">
        <v>208062</v>
      </c>
      <c r="G10" s="6" t="n">
        <v>202077</v>
      </c>
      <c r="H10" s="6" t="n">
        <v>196121</v>
      </c>
      <c r="I10" s="6" t="n">
        <v>246454</v>
      </c>
      <c r="J10" s="6" t="n">
        <v>232920</v>
      </c>
      <c r="K10" s="6" t="n">
        <v>220129</v>
      </c>
      <c r="L10" s="6">
        <f>SUM(B10:K10)</f>
        <v/>
      </c>
    </row>
    <row r="11">
      <c r="A11" t="inlineStr">
        <is>
          <t>Discounted EVA cumulated</t>
        </is>
      </c>
      <c r="B11" s="6" t="n">
        <v>0</v>
      </c>
      <c r="C11" s="6" t="n">
        <v>-192673</v>
      </c>
      <c r="D11" s="6" t="n">
        <v>-219316</v>
      </c>
      <c r="E11" s="6" t="n">
        <v>-5256</v>
      </c>
      <c r="F11" s="6" t="n">
        <v>202805</v>
      </c>
      <c r="G11" s="6" t="n">
        <v>404882</v>
      </c>
      <c r="H11" s="6" t="n">
        <v>601003</v>
      </c>
      <c r="I11" s="6" t="n">
        <v>847457</v>
      </c>
      <c r="J11" s="6" t="n">
        <v>1080377</v>
      </c>
      <c r="K11" s="6" t="n">
        <v>1300506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0</v>
      </c>
      <c r="F2" s="6" t="n">
        <v>90000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0</v>
      </c>
      <c r="F3" s="6" t="n">
        <v>160000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/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>
        <is>
          <t>Local rollout infrastructure, hardware and devices</t>
        </is>
      </c>
      <c r="E5" s="6" t="n">
        <v>0</v>
      </c>
      <c r="F5" s="6" t="n">
        <v>480000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0</v>
      </c>
      <c r="F6" s="6" t="n">
        <v>60000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0</v>
      </c>
      <c r="F7" s="6" t="n">
        <v>110000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0</v>
      </c>
      <c r="G8" s="6" t="n">
        <v>30000</v>
      </c>
      <c r="H8" s="6" t="n">
        <v>30000</v>
      </c>
      <c r="I8" s="6" t="n">
        <v>30000</v>
      </c>
      <c r="J8" s="6" t="n">
        <v>30000</v>
      </c>
      <c r="K8" s="6" t="n">
        <v>30000</v>
      </c>
      <c r="L8" s="6" t="n">
        <v>30000</v>
      </c>
      <c r="M8" s="6" t="n">
        <v>30000</v>
      </c>
      <c r="N8" s="6" t="n">
        <v>30000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/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>
        <is>
          <t>External maintenance and vendor support</t>
        </is>
      </c>
      <c r="E10" s="6" t="n">
        <v>0</v>
      </c>
      <c r="F10" s="6" t="n">
        <v>0</v>
      </c>
      <c r="G10" s="6" t="n">
        <v>240000</v>
      </c>
      <c r="H10" s="6" t="n">
        <v>240000</v>
      </c>
      <c r="I10" s="6" t="n">
        <v>240000</v>
      </c>
      <c r="J10" s="6" t="n">
        <v>240000</v>
      </c>
      <c r="K10" s="6" t="n">
        <v>240000</v>
      </c>
      <c r="L10" s="6" t="n">
        <v>240000</v>
      </c>
      <c r="M10" s="6" t="n">
        <v>240000</v>
      </c>
      <c r="N10" s="6" t="n">
        <v>240000</v>
      </c>
    </row>
    <row r="11">
      <c r="A11" t="n">
        <v>20</v>
      </c>
      <c r="B11" t="inlineStr">
        <is>
          <t>Cost Savings</t>
        </is>
      </c>
      <c r="D11" t="inlineStr">
        <is>
          <t>Wegfall Miete, Energie, Facility RZ Neuss</t>
        </is>
      </c>
      <c r="E11" s="6" t="n">
        <v>0</v>
      </c>
      <c r="F11" s="6" t="n">
        <v>0</v>
      </c>
      <c r="G11" s="6" t="n">
        <v>310000</v>
      </c>
      <c r="H11" s="6" t="n">
        <v>620000</v>
      </c>
      <c r="I11" s="6" t="n">
        <v>620000</v>
      </c>
      <c r="J11" s="6" t="n">
        <v>620000</v>
      </c>
      <c r="K11" s="6" t="n">
        <v>620000</v>
      </c>
      <c r="L11" s="6" t="n">
        <v>620000</v>
      </c>
      <c r="M11" s="6" t="n">
        <v>620000</v>
      </c>
      <c r="N11" s="6" t="n">
        <v>620000</v>
      </c>
    </row>
    <row r="12">
      <c r="A12" t="n">
        <v>21</v>
      </c>
      <c r="B12" t="inlineStr">
        <is>
          <t>Cost Savings</t>
        </is>
      </c>
      <c r="D12" t="inlineStr">
        <is>
          <t>Vermiedene Investition Klima/USV (annualisiert)</t>
        </is>
      </c>
      <c r="E12" s="6" t="n">
        <v>0</v>
      </c>
      <c r="F12" s="6" t="n">
        <v>0</v>
      </c>
      <c r="G12" s="6" t="n">
        <v>90000</v>
      </c>
      <c r="H12" s="6" t="n">
        <v>180000</v>
      </c>
      <c r="I12" s="6" t="n">
        <v>180000</v>
      </c>
      <c r="J12" s="6" t="n">
        <v>180000</v>
      </c>
      <c r="K12" s="6" t="n">
        <v>180000</v>
      </c>
      <c r="L12" s="6" t="n">
        <v>180000</v>
      </c>
      <c r="M12" s="6" t="n">
        <v>180000</v>
      </c>
      <c r="N12" s="6" t="n">
        <v>180000</v>
      </c>
    </row>
    <row r="13">
      <c r="A13" t="n">
        <v>26</v>
      </c>
      <c r="B13" t="inlineStr">
        <is>
          <t>Non-quantitative Benefits</t>
        </is>
      </c>
      <c r="D13" t="inlineStr">
        <is>
          <t>Risikoreduktion; Fokus auf Cloud-Betrieb.</t>
        </is>
      </c>
    </row>
    <row r="14">
      <c r="A14" t="n">
        <v>31</v>
      </c>
      <c r="B14" t="inlineStr">
        <is>
          <t>Project Number</t>
        </is>
      </c>
      <c r="D14" t="inlineStr">
        <is>
          <t>BC-2026-0624.1</t>
        </is>
      </c>
    </row>
    <row r="15">
      <c r="A15" t="n">
        <v>32</v>
      </c>
      <c r="B15" t="inlineStr">
        <is>
          <t>Start FY</t>
        </is>
      </c>
      <c r="D15" t="n">
        <v>2027</v>
      </c>
    </row>
    <row r="16">
      <c r="A16" t="n">
        <v>33</v>
      </c>
      <c r="B16" t="inlineStr">
        <is>
          <t>Go-Live FY</t>
        </is>
      </c>
      <c r="D16" t="n">
        <v>2028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LUMEN – Rechenzentrumskonsolidierung Neuss nach Colocation</t>
        </is>
      </c>
    </row>
    <row r="2">
      <c r="A2" s="11" t="inlineStr">
        <is>
          <t>Project Number</t>
        </is>
      </c>
      <c r="B2" s="12" t="inlineStr">
        <is>
          <t>BC-2026-0624.1</t>
        </is>
      </c>
    </row>
    <row r="3">
      <c r="A3" s="11" t="inlineStr">
        <is>
          <t>Partner / Operating</t>
        </is>
      </c>
      <c r="B3" s="12" t="inlineStr">
        <is>
          <t>VELTRAX Corporate Services GmbH</t>
        </is>
      </c>
    </row>
    <row r="4">
      <c r="A4" s="11" t="inlineStr">
        <is>
          <t>Requesting Unit</t>
        </is>
      </c>
      <c r="B4" s="12" t="inlineStr">
        <is>
          <t>Corporate IT – Infrastructure</t>
        </is>
      </c>
    </row>
    <row r="5">
      <c r="A5" s="11" t="inlineStr">
        <is>
          <t>Project Sponsor</t>
        </is>
      </c>
      <c r="B5" s="12" t="inlineStr">
        <is>
          <t>Ulrike Hessler (Head of IT Infrastructure)</t>
        </is>
      </c>
    </row>
    <row r="6">
      <c r="A6" s="11" t="inlineStr">
        <is>
          <t>Project Manager</t>
        </is>
      </c>
      <c r="B6" s="12" t="inlineStr">
        <is>
          <t>Marco Steinbach</t>
        </is>
      </c>
    </row>
    <row r="7">
      <c r="A7" s="11" t="inlineStr">
        <is>
          <t>Lead - Affected Countries</t>
        </is>
      </c>
      <c r="B7" s="12" t="inlineStr">
        <is>
          <t>CORP; DE</t>
        </is>
      </c>
    </row>
    <row r="8">
      <c r="A8" s="11" t="inlineStr">
        <is>
          <t>Description</t>
        </is>
      </c>
      <c r="B8" s="12" t="inlineStr">
        <is>
          <t>Umzug der nach SUMMIT verbleibenden ca. 140 Workloads aus dem Eigen-RZ Neuss in ein Colocation-Rechenzentrum (Frankfurt) und Aufgabe der Fläche zum Mietvertragsende 2028. Enthält Hardware-Refresh der Storage-Systeme.</t>
        </is>
      </c>
    </row>
    <row r="9">
      <c r="A9" s="11" t="inlineStr">
        <is>
          <t>Objective (OKR/VCP)</t>
        </is>
      </c>
      <c r="B9" s="12" t="inlineStr">
        <is>
          <t>OBJ-432 – Kein eigenes Rechenzentrum ab 2028.</t>
        </is>
      </c>
    </row>
    <row r="10">
      <c r="A10" s="11" t="inlineStr">
        <is>
          <t>Metrics</t>
        </is>
      </c>
      <c r="B10" s="12" t="inlineStr">
        <is>
          <t>RZ Neuss leergezogen bis 30.09.2028; Verfügbarkeit kritischer Systeme 99,9 %; Betriebskosten Infrastruktur −18 %</t>
        </is>
      </c>
    </row>
    <row r="11">
      <c r="A11" s="11" t="inlineStr">
        <is>
          <t>Planned Deliverables</t>
        </is>
      </c>
      <c r="B11" s="12" t="inlineStr">
        <is>
          <t>Colocation-Vergabe und Aufbau; Migration in 6 Wellen; Rückbau Neuss</t>
        </is>
      </c>
    </row>
    <row r="12">
      <c r="A12" s="11" t="inlineStr">
        <is>
          <t>Business Processes affected</t>
        </is>
      </c>
      <c r="B12" s="12" t="inlineStr">
        <is>
          <t>IT-Betrieb; alle zentral gehosteten Anwendungen.</t>
        </is>
      </c>
    </row>
    <row r="13">
      <c r="A13" s="11" t="inlineStr">
        <is>
          <t>Organisational Units affected</t>
        </is>
      </c>
      <c r="B13" s="12" t="inlineStr">
        <is>
          <t>IT Infrastructure, Facility Management, Einkauf, System-Owner.</t>
        </is>
      </c>
    </row>
    <row r="14">
      <c r="A14" s="11" t="inlineStr">
        <is>
          <t>Technical Dependencies</t>
        </is>
      </c>
      <c r="B14" s="12" t="inlineStr">
        <is>
          <t>Abhängig von SUMMIT (welche Workloads verbleiben), LATTICE (Anbindung Colocation), GRANITE (DR-Ziel).</t>
        </is>
      </c>
    </row>
    <row r="15">
      <c r="A15" s="11" t="inlineStr">
        <is>
          <t>Organisational Dependencies</t>
        </is>
      </c>
      <c r="B15" s="12" t="inlineStr">
        <is>
          <t>Migrationsfenster mit Sparten; Kündigung Mietvertrag Neuss fristgerecht.</t>
        </is>
      </c>
    </row>
    <row r="16">
      <c r="A16" s="11" t="inlineStr">
        <is>
          <t>Risks</t>
        </is>
      </c>
      <c r="B16" s="12" t="inlineStr">
        <is>
          <t>Verzögerung SUMMIT vergrößert Migrationsumfang; Doppelkosten während Umzug; Hardware-Lieferzeiten</t>
        </is>
      </c>
    </row>
    <row r="17">
      <c r="A17" s="11" t="inlineStr">
        <is>
          <t>Justification</t>
        </is>
      </c>
      <c r="B17" s="12" t="inlineStr">
        <is>
          <t>Mietvertrag endet 2028; Klimatisierung und USV in Neuss sind am Lebensende (Investitionsbedarf 1,8 Mio. €, nicht empfohlen).</t>
        </is>
      </c>
    </row>
    <row r="18">
      <c r="A18" s="11" t="inlineStr">
        <is>
          <t>Vendor / Product Information</t>
        </is>
      </c>
      <c r="B18" s="12" t="inlineStr">
        <is>
          <t>Colocation: Equinix oder Interxion (Ausschreibung 2026), Storage über Rahmenvertrag.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