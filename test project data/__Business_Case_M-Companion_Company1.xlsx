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9e7b3756b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ion lists" sheetId="1" r:id="R2495f86c48fa4453"/>
    <x:sheet xmlns:r="http://schemas.openxmlformats.org/officeDocument/2006/relationships" name="Upload" sheetId="2" r:id="R5efbd80384b34a16"/>
    <x:sheet xmlns:r="http://schemas.openxmlformats.org/officeDocument/2006/relationships" name="Summary" sheetId="3" r:id="R1b5f3d5c39c8439d"/>
    <x:sheet xmlns:r="http://schemas.openxmlformats.org/officeDocument/2006/relationships" name="Costs &amp; Benefits" sheetId="4" r:id="Rd56a2546a3ca4e81"/>
    <x:sheet xmlns:r="http://schemas.openxmlformats.org/officeDocument/2006/relationships" name="Project Description" sheetId="5" r:id="R102545b7882b47bd"/>
    <x:sheet xmlns:r="http://schemas.openxmlformats.org/officeDocument/2006/relationships" name="Project Cost Description" sheetId="6" r:id="Rc390be56572244af"/>
    <x:sheet xmlns:r="http://schemas.openxmlformats.org/officeDocument/2006/relationships" name="Benefit Calculation" sheetId="7" r:id="R63511162642d4be7"/>
    <x:sheet xmlns:r="http://schemas.openxmlformats.org/officeDocument/2006/relationships" name="List of Demands" sheetId="9" r:id="R899e5b57e5bf4b29"/>
    <x:sheet xmlns:r="http://schemas.openxmlformats.org/officeDocument/2006/relationships" name="Demand N°1 Benefit" sheetId="10" r:id="R91c8b372e60b4b55"/>
    <x:sheet xmlns:r="http://schemas.openxmlformats.org/officeDocument/2006/relationships" name="Demand N°2 Benefit" sheetId="11" r:id="Rb38757ebda1e43fd"/>
    <x:sheet xmlns:r="http://schemas.openxmlformats.org/officeDocument/2006/relationships" name="Definition_Service Categories" sheetId="8" r:id="Rddf2d114fc334cf9"/>
  </x:sheets>
  <x:definedNames>
    <x:definedName name="Z_039C10A7_36AD_4324_B6E0_581E562E0A5E_.wvu.FilterData" localSheetId="0" hidden="1">'Selection lists'!$A$1:$C$45</x:definedName>
    <x:definedName name="Z_039C10A7_36AD_4324_B6E0_581E562E0A5E_.wvu.PrintArea" localSheetId="3" hidden="1">'Costs &amp; Benefits'!$D$1:$U$147</x:definedName>
    <x:definedName name="Z_039C10A7_36AD_4324_B6E0_581E562E0A5E_.wvu.Rows" localSheetId="3" hidden="1">'Costs &amp; Benefits'!$54:$54,'Costs &amp; Benefits'!$56:$57,'Costs &amp; Benefits'!$59:$60,'Costs &amp; Benefits'!$62:$63,'Costs &amp; Benefits'!$65:$66,'Costs &amp; Benefits'!$68:$69,'Costs &amp; Benefits'!$71:$72,'Costs &amp; Benefits'!$74:$75,'Costs &amp; Benefits'!$77:$78,'Costs &amp; Benefits'!$80:$81,'Costs &amp; Benefits'!$83:$83</x:definedName>
    <x:definedName name="Z_039C10A7_36AD_4324_B6E0_581E562E0A5E_.wvu.PrintArea" localSheetId="2" hidden="1">Summary!$C$5:$S$45</x:definedName>
    <x:definedName name="Z_039C10A7_36AD_4324_B6E0_581E562E0A5E_.wvu.PrintArea" localSheetId="1" hidden="1">Upload!$B$1:$P$34</x:definedName>
  </x:definedNames>
</x:workbook>
</file>

<file path=xl/sharedStrings.xml><?xml version="1.0" encoding="utf-8"?>
<x:sst xmlns:x="http://schemas.openxmlformats.org/spreadsheetml/2006/main">
  <x:si>
    <x:t xml:space="preserve">MCC Country</x:t>
  </x:si>
  <x:si>
    <x:t xml:space="preserve">Tax rate</x:t>
  </x:si>
  <x:si>
    <x:t xml:space="preserve">WACC (EUR)</x:t>
  </x:si>
  <x:si>
    <x:t xml:space="preserve">Fiscal Year</x:t>
  </x:si>
  <x:si>
    <x:t xml:space="preserve">Austria</x:t>
  </x:si>
  <x:si>
    <x:t xml:space="preserve">Belgium</x:t>
  </x:si>
  <x:si>
    <x:t xml:space="preserve">Bulgaria</x:t>
  </x:si>
  <x:si>
    <x:t xml:space="preserve">China</x:t>
  </x:si>
  <x:si>
    <x:t xml:space="preserve">Corporate</x:t>
  </x:si>
  <x:si>
    <x:t xml:space="preserve">Croatia</x:t>
  </x:si>
  <x:si>
    <x:t xml:space="preserve">Czech Republic</x:t>
  </x:si>
  <x:si>
    <x:t xml:space="preserve">Denmark</x:t>
  </x:si>
  <x:si>
    <x:t xml:space="preserve">Egypt</x:t>
  </x:si>
  <x:si>
    <x:t xml:space="preserve">France</x:t>
  </x:si>
  <x:si>
    <x:t xml:space="preserve">Germany</x:t>
  </x:si>
  <x:si>
    <x:t xml:space="preserve">Greece</x:t>
  </x:si>
  <x:si>
    <x:t xml:space="preserve">Hong Kong</x:t>
  </x:si>
  <x:si>
    <x:t xml:space="preserve">Hungary</x:t>
  </x:si>
  <x:si>
    <x:t xml:space="preserve">India</x:t>
  </x:si>
  <x:si>
    <x:t xml:space="preserve">Indonesia</x:t>
  </x:si>
  <x:si>
    <x:t xml:space="preserve">Italy</x:t>
  </x:si>
  <x:si>
    <x:t xml:space="preserve">Japan</x:t>
  </x:si>
  <x:si>
    <x:t xml:space="preserve">Kazakhstan</x:t>
  </x:si>
  <x:si>
    <x:t xml:space="preserve">Luxemburg</x:t>
  </x:si>
  <x:si>
    <x:t xml:space="preserve">Malaysia</x:t>
  </x:si>
  <x:si>
    <x:t xml:space="preserve">Moldova</x:t>
  </x:si>
  <x:si>
    <x:t xml:space="preserve">Netherlands</x:t>
  </x:si>
  <x:si>
    <x:t xml:space="preserve">Pakistan</x:t>
  </x:si>
  <x:si>
    <x:t xml:space="preserve">Philippines</x:t>
  </x:si>
  <x:si>
    <x:t xml:space="preserve">Poland</x:t>
  </x:si>
  <x:si>
    <x:t xml:space="preserve">Portugal</x:t>
  </x:si>
  <x:si>
    <x:t xml:space="preserve">Romania</x:t>
  </x:si>
  <x:si>
    <x:t xml:space="preserve">Russia</x:t>
  </x:si>
  <x:si>
    <x:t xml:space="preserve">Serbia</x:t>
  </x:si>
  <x:si>
    <x:t xml:space="preserve">Singapore</x:t>
  </x:si>
  <x:si>
    <x:t xml:space="preserve">Slovakia </x:t>
  </x:si>
  <x:si>
    <x:t xml:space="preserve">Spain</x:t>
  </x:si>
  <x:si>
    <x:t xml:space="preserve">Switzerland </x:t>
  </x:si>
  <x:si>
    <x:t xml:space="preserve">Thailand</x:t>
  </x:si>
  <x:si>
    <x:t xml:space="preserve">Turkey</x:t>
  </x:si>
  <x:si>
    <x:t xml:space="preserve">Ukraine</x:t>
  </x:si>
  <x:si>
    <x:t xml:space="preserve">Vietnam</x:t>
  </x:si>
  <x:si>
    <x:t xml:space="preserve">Fiscal year</x:t>
  </x:si>
  <x:si>
    <x:t xml:space="preserve">Type of Cash Out</x:t>
  </x:si>
  <x:si>
    <x:t xml:space="preserve">Short Description</x:t>
  </x:si>
  <x:si>
    <x:t xml:space="preserve">SC 70 - Project Capitalizable (intern)</x:t>
  </x:si>
  <x:si>
    <x:t xml:space="preserve">SC 70 - Project Capitalizable (extern)</x:t>
  </x:si>
  <x:si>
    <x:t xml:space="preserve">SC 90 - Software Licenses (intern)</x:t>
  </x:si>
  <x:si>
    <x:t xml:space="preserve">Local IT/IM Investments (extern)</x:t>
  </x:si>
  <x:si>
    <x:t xml:space="preserve">SC 10 - Project Non Capitalizable (intern)</x:t>
  </x:si>
  <x:si>
    <x:t xml:space="preserve">SC 10 - Project Non Capitalizable (extern)</x:t>
  </x:si>
  <x:si>
    <x:t xml:space="preserve">SC 30 - Maint. and Support (intern)</x:t>
  </x:si>
  <x:si>
    <x:t xml:space="preserve">SC 30 - SaaS (extern)</x:t>
  </x:si>
  <x:si>
    <x:t xml:space="preserve">SC 30 - Maint. for ext. SW Licenses (extern)</x:t>
  </x:si>
  <x:si>
    <x:t xml:space="preserve">SC 40 -  IOS (intern)</x:t>
  </x:si>
  <x:si>
    <x:t xml:space="preserve">SC 50 - AS (intern)</x:t>
  </x:si>
  <x:si>
    <x:t xml:space="preserve">Local IT/IM Costs One-Off (intern)</x:t>
  </x:si>
  <x:si>
    <x:t xml:space="preserve">Local IT/IM Costs Recurr. (intern)</x:t>
  </x:si>
  <x:si>
    <x:t xml:space="preserve">Sales Benefits</x:t>
  </x:si>
  <x:si>
    <x:t xml:space="preserve">Cost Savings</x:t>
  </x:si>
  <x:si>
    <x:t xml:space="preserve">Non-quantitative Benefits</x:t>
  </x:si>
  <x:si>
    <x:t xml:space="preserve">EBIT per period</x:t>
  </x:si>
  <x:si>
    <x:t xml:space="preserve">Discounted EVA cumulative</x:t>
  </x:si>
  <x:si>
    <x:t xml:space="preserve">ROI (all years)</x:t>
  </x:si>
  <x:si>
    <x:t xml:space="preserve">Payback Period</x:t>
  </x:si>
  <x:si>
    <x:t xml:space="preserve">Project Number</x:t>
  </x:si>
  <x:si>
    <x:t xml:space="preserve">Start FY</x:t>
  </x:si>
  <x:si>
    <x:t xml:space="preserve">?</x:t>
  </x:si>
  <x:si>
    <x:t xml:space="preserve">Summary</x:t>
  </x:si>
  <x:si>
    <x:t xml:space="preserve">Project Manager  </x:t>
  </x:si>
  <x:si>
    <x:t xml:space="preserve">MCC Decision item  ID</x:t>
  </x:si>
  <x:si>
    <x:t xml:space="preserve">Project Sponsor  </x:t>
  </x:si>
  <x:si>
    <x:t xml:space="preserve">Project Number(s)</x:t>
  </x:si>
  <x:si>
    <x:t xml:space="preserve">Creation date  </x:t>
  </x:si>
  <x:si>
    <x:t xml:space="preserve">Project Name</x:t>
  </x:si>
  <x:si>
    <x:t xml:space="preserve">Start (FY)  </x:t>
  </x:si>
  <x:si>
    <x:t xml:space="preserve">Program Name</x:t>
  </x:si>
  <x:si>
    <x:t xml:space="preserve">Go-Live (FY)  </x:t>
  </x:si>
  <x:si>
    <x:t xml:space="preserve">Total</x:t>
  </x:si>
  <x:si>
    <x:t xml:space="preserve"> I. Cost-Benefit Comparison</x:t>
  </x:si>
  <x:si>
    <x:t xml:space="preserve">Non-capitalizable efforts</x:t>
  </x:si>
  <x:si>
    <x:t xml:space="preserve">Depreciation</x:t>
  </x:si>
  <x:si>
    <x:t xml:space="preserve">Costs</x:t>
  </x:si>
  <x:si>
    <x:t xml:space="preserve">Sales benefits</x:t>
  </x:si>
  <x:si>
    <x:t xml:space="preserve">Cost savings</x:t>
  </x:si>
  <x:si>
    <x:t xml:space="preserve">Benefits</x:t>
  </x:si>
  <x:si>
    <x:r>
      <x:t xml:space="preserve">EBIT</x:t>
    </x:r>
    <x:r>
      <x:rPr>
        <x:b/>
        <x:sz val="10"/>
        <x:color theme="3"/>
        <x:rFont val="Roboto"/>
      </x:rPr>
      <x:t xml:space="preserve"> </x:t>
    </x:r>
    <x:r>
      <x:rPr>
        <x:sz val="10"/>
        <x:color theme="3"/>
        <x:rFont val="Roboto"/>
      </x:rPr>
      <x:t xml:space="preserve">- Earnings Before Interest &amp; Tax</x:t>
    </x:r>
  </x:si>
  <x:si>
    <x:t xml:space="preserve">Total   </x:t>
  </x:si>
  <x:si>
    <x:t xml:space="preserve">II. Discounted EVA</x:t>
  </x:si>
  <x:si>
    <x:t xml:space="preserve">Depreciations</x:t>
  </x:si>
  <x:si>
    <x:t xml:space="preserve">Benefit</x:t>
  </x:si>
  <x:si>
    <x:t xml:space="preserve">EBIT - Earnings before Interest &amp; Tax</x:t>
  </x:si>
  <x:si>
    <x:t xml:space="preserve">Calculated Tax</x:t>
  </x:si>
  <x:si>
    <x:t xml:space="preserve">NOPAT - Net operating profit after Tax</x:t>
  </x:si>
  <x:si>
    <x:t xml:space="preserve">Capital Employed (residual book value from inv.)</x:t>
  </x:si>
  <x:si>
    <x:t xml:space="preserve">Calculation Cost of Capital</x:t>
  </x:si>
  <x:si>
    <x:t xml:space="preserve">EVA per period</x:t>
  </x:si>
  <x:si>
    <x:r>
      <x:t xml:space="preserve">Discounted EVA</x:t>
    </x:r>
    <x:r>
      <x:rPr>
        <x:sz val="10"/>
        <x:color theme="3"/>
        <x:rFont val="Roboto"/>
      </x:rPr>
      <x:t xml:space="preserve"> per period</x:t>
    </x:r>
  </x:si>
  <x:si>
    <x:r>
      <x:t xml:space="preserve">Discounted EVA</x:t>
    </x:r>
    <x:r>
      <x:rPr>
        <x:sz val="10"/>
        <x:color theme="3"/>
        <x:rFont val="Roboto"/>
      </x:rPr>
      <x:t xml:space="preserve"> cumulative</x:t>
    </x:r>
  </x:si>
  <x:si>
    <x:t xml:space="preserve">Basic data for EVA Calculation</x:t>
  </x:si>
  <x:si>
    <x:t xml:space="preserve">Tax Rate:</x:t>
  </x:si>
  <x:si>
    <x:t xml:space="preserve">WACC:</x:t>
  </x:si>
  <x:si>
    <x:t xml:space="preserve">III. KPI - Key Performance Indicator</x:t>
  </x:si>
  <x:si>
    <x:t xml:space="preserve">Total costs (all years)</x:t>
  </x:si>
  <x:si>
    <x:t xml:space="preserve">Total benefits (all years)</x:t>
  </x:si>
  <x:si>
    <x:t xml:space="preserve">EBIT (all years)</x:t>
  </x:si>
  <x:si>
    <x:t xml:space="preserve">Discounted EVA (all years)</x:t>
  </x:si>
  <x:si>
    <x:t xml:space="preserve">Payback Period (y/m)</x:t>
  </x:si>
  <x:si>
    <x:t xml:space="preserve">IV. EVA chart</x:t>
  </x:si>
  <x:si>
    <x:t xml:space="preserve">Costs &amp; Benefits</x:t>
  </x:si>
  <x:si>
    <x:t xml:space="preserve">MCC Country  </x:t>
  </x:si>
  <x:si>
    <x:t xml:space="preserve">MCC Decision item  ID  </x:t>
  </x:si>
  <x:si>
    <x:t xml:space="preserve">Project Number  </x:t>
  </x:si>
  <x:si>
    <x:t xml:space="preserve">Project Name  </x:t>
  </x:si>
  <x:si>
    <x:t xml:space="preserve">Program Name  </x:t>
  </x:si>
  <x:si>
    <x:t xml:space="preserve">A. Cost Calculation (IT Planning)</x:t>
  </x:si>
  <x:si>
    <x:t xml:space="preserve">Type</x:t>
  </x:si>
  <x:si>
    <x:t xml:space="preserve">I.</x:t>
  </x:si>
  <x:si>
    <x:t xml:space="preserve">Capitalizable efforts (absolute amounts)</x:t>
  </x:si>
  <x:si>
    <x:t xml:space="preserve">Service category 70: Project Capitalizable</x:t>
  </x:si>
  <x:si>
    <x:t xml:space="preserve">Cash Out (intern)</x:t>
  </x:si>
  <x:si>
    <x:t xml:space="preserve">One-Off</x:t>
  </x:si>
  <x:si>
    <x:t xml:space="preserve">Cash Out (extern)</x:t>
  </x:si>
  <x:si>
    <x:t xml:space="preserve">Service category 90: Software Licenses</x:t>
  </x:si>
  <x:si>
    <x:t xml:space="preserve">Local IT/IM (Investments)</x:t>
  </x:si>
  <x:si>
    <x:t xml:space="preserve">TOTAL</x:t>
  </x:si>
  <x:si>
    <x:t xml:space="preserve">Useful life (depreciation)</x:t>
  </x:si>
  <x:si>
    <x:t xml:space="preserve">   If useful life &gt; 5 years please comment</x:t>
  </x:si>
  <x:si>
    <x:t xml:space="preserve">II.</x:t>
  </x:si>
  <x:si>
    <x:t xml:space="preserve">Non-capitalizable efforts (absolute amounts)</x:t>
  </x:si>
  <x:si>
    <x:t xml:space="preserve">Service Category 10: Project Non Capitalizable</x:t>
  </x:si>
  <x:si>
    <x:t xml:space="preserve">Service category 30: Support &amp; Maintenance</x:t>
  </x:si>
  <x:si>
    <x:t xml:space="preserve">Recurrent</x:t>
  </x:si>
  <x:si>
    <x:t xml:space="preserve">Service category 30: SaaS</x:t>
  </x:si>
  <x:si>
    <x:t xml:space="preserve">Service category 30: Maintenance for external Software Licenses</x:t>
  </x:si>
  <x:si>
    <x:t xml:space="preserve">Service category 40: IOS (Infrastructure Operation Service)</x:t>
  </x:si>
  <x:si>
    <x:t xml:space="preserve">Service category 50: AS (Application Service)</x:t>
  </x:si>
  <x:si>
    <x:t xml:space="preserve">Local IT/IM (Costs)</x:t>
  </x:si>
  <x:si>
    <x:t xml:space="preserve">III.</x:t>
  </x:si>
  <x:si>
    <x:r>
      <x:t xml:space="preserve">Depreciation</x:t>
    </x:r>
    <x:r>
      <x:rPr>
        <x:sz val="10"/>
        <x:color theme="3"/>
        <x:rFont val="Roboto"/>
      </x:rPr>
      <x:t xml:space="preserve"> (automatic calculation to proof if capitalized efforts categories are added)</x:t>
    </x:r>
  </x:si>
  <x:si>
    <x:t xml:space="preserve">Residual</x:t>
  </x:si>
  <x:si>
    <x:t xml:space="preserve">Total Costs</x:t>
  </x:si>
  <x:si>
    <x:t xml:space="preserve">B. Benefit Calculation (Business Planning)</x:t>
  </x:si>
  <x:si>
    <x:t xml:space="preserve">Cost Savings (absolute amounts)</x:t>
  </x:si>
  <x:si>
    <x:t xml:space="preserve">Additional non-monetary Benefits</x:t>
  </x:si>
  <x:si>
    <x:r>
      <x:t xml:space="preserve">B. Benefit Calculation</x:t>
    </x:r>
    <x:r>
      <x:rPr>
        <x:sz val="12"/>
        <x:color theme="3"/>
        <x:rFont val="Roboto"/>
      </x:rPr>
      <x:t xml:space="preserve"> (Business Planning)  </x:t>
    </x:r>
    <x:r>
      <x:rPr>
        <x:b/>
        <x:sz val="12"/>
        <x:color theme="3"/>
        <x:rFont val="Roboto"/>
      </x:rPr>
      <x:t xml:space="preserve">Total Costs</x:t>
    </x:r>
  </x:si>
  <x:si>
    <x:t xml:space="preserve">C. Calculation of Discounted EVA</x:t>
  </x:si>
  <x:si>
    <x:t xml:space="preserve">(2)</x:t>
  </x:si>
  <x:si>
    <x:t xml:space="preserve">Total Benefits</x:t>
  </x:si>
  <x:si>
    <x:t xml:space="preserve">(3)</x:t>
  </x:si>
  <x:si>
    <x:r>
      <x:t xml:space="preserve">EBIT</x:t>
    </x:r>
    <x:r>
      <x:rPr>
        <x:b/>
        <x:sz val="9"/>
        <x:color theme="1" tint="0.24998"/>
        <x:rFont val="Roboto"/>
      </x:rPr>
      <x:t xml:space="preserve"> - </x:t>
    </x:r>
    <x:r>
      <x:rPr>
        <x:sz val="9"/>
        <x:color theme="1" tint="0.24998"/>
        <x:rFont val="Roboto"/>
      </x:rPr>
      <x:t xml:space="preserve">Earnings before Interest &amp; Tax</x:t>
    </x:r>
  </x:si>
  <x:si>
    <x:t xml:space="preserve">(4) = + (3) - (2) - (1) </x:t>
  </x:si>
  <x:si>
    <x:t xml:space="preserve">Calculation Tax</x:t>
  </x:si>
  <x:si>
    <x:t xml:space="preserve">(5) = - Tax Rate x (4)</x:t>
  </x:si>
  <x:si>
    <x:r>
      <x:t xml:space="preserve">NOPAT</x:t>
    </x:r>
    <x:r>
      <x:rPr>
        <x:sz val="9"/>
        <x:color theme="1" tint="0.24998"/>
        <x:rFont val="Roboto"/>
      </x:rPr>
      <x:t xml:space="preserve"> - Net operating profit after Tax</x:t>
    </x:r>
  </x:si>
  <x:si>
    <x:t xml:space="preserve">(6) = (5) - (4)</x:t>
  </x:si>
  <x:si>
    <x:t xml:space="preserve">Capital Employed</x:t>
  </x:si>
  <x:si>
    <x:t xml:space="preserve">(7)</x:t>
  </x:si>
  <x:si>
    <x:t xml:space="preserve">(8) = (7) x WACC</x:t>
  </x:si>
  <x:si>
    <x:t xml:space="preserve">Calculation EVA per period</x:t>
  </x:si>
  <x:si>
    <x:t xml:space="preserve">(9) = (6) + (8)</x:t>
  </x:si>
  <x:si>
    <x:t xml:space="preserve">Calculation of discounted EVA</x:t>
  </x:si>
  <x:si>
    <x:t xml:space="preserve">Calculation of cumulative EVA</x:t>
  </x:si>
  <x:si>
    <x:t xml:space="preserve">Calculation of discounted Cash Flow</x:t>
  </x:si>
  <x:si>
    <x:t xml:space="preserve">Calculation of cumulated Cash Flow</x:t>
  </x:si>
  <x:si>
    <x:t xml:space="preserve">Months needed for payback</x:t>
  </x:si>
  <x:si>
    <x:t xml:space="preserve">Years needed for payback</x:t>
  </x:si>
  <x:si>
    <x:t xml:space="preserve">Cash Payback Time (from Go Live)</x:t>
  </x:si>
  <x:si>
    <x:t xml:space="preserve">Years</x:t>
  </x:si>
  <x:si>
    <x:t xml:space="preserve">Month</x:t>
  </x:si>
  <x:si>
    <x:t xml:space="preserve">Calculation of discounted Investment</x:t>
  </x:si>
  <x:si>
    <x:t xml:space="preserve">Demand Category</x:t>
  </x:si>
  <x:si>
    <x:t xml:space="preserve">Demand Number</x:t>
  </x:si>
  <x:si>
    <x:t xml:space="preserve">Demand Title</x:t>
  </x:si>
  <x:si>
    <x:t xml:space="preserve">Demand Description</x:t>
  </x:si>
  <x:si>
    <x:t xml:space="preserve">Benefit Description</x:t>
  </x:si>
  <x:si>
    <x:t xml:space="preserve">Business Risk if not implemented</x:t>
  </x:si>
  <x:si>
    <x:t xml:space="preserve">Demand Costs</x:t>
  </x:si>
  <x:si>
    <x:t xml:space="preserve">Definition of capitalizable and non capitalizable efforts</x:t>
  </x:si>
  <x:si>
    <x:t xml:space="preserve">Project Non Capitalizable</x:t>
  </x:si>
  <x:si>
    <x:t xml:space="preserve">SC 10</x:t>
  </x:si>
  <x:si>
    <x:t xml:space="preserve">Strategy &amp; Analysis</x:t>
  </x:si>
  <x:si>
    <x:t xml:space="preserve">- Project initiation
- Project management (planning, controlling, reporting)
- Documentation of research results
- Proof of concept</x:t>
  </x:si>
  <x:si>
    <x:t xml:space="preserve">Training</x:t>
  </x:si>
  <x:si>
    <x:t xml:space="preserve">- Release change
- Preparation of training material &amp; training
- On-site support
- Project management activities for this tasks</x:t>
  </x:si>
  <x:si>
    <x:t xml:space="preserve">Project Capitalizable</x:t>
  </x:si>
  <x:si>
    <x:t xml:space="preserve">SC 70</x:t>
  </x:si>
  <x:si>
    <x:t xml:space="preserve">Design &amp; Implementation</x:t>
  </x:si>
  <x:si>
    <x:t xml:space="preserve">- Functional &amp; technical specification
- Solution design
- all software development services until introduction 
- Test case definition
- Execution of tests (module test, functional test, integration test, user acceptance test etc.)
- Migration
- Solution documentation
- Project management activity for this tasks</x:t>
  </x:si>
  <x:si>
    <x:t xml:space="preserve">Introduction</x:t>
  </x:si>
  <x:si>
    <x:t xml:space="preserve">- All software development services during introduction 
- Customer specific adaptions
- Rollout of software solution selective or area-wide 
- Harmonisation of software solutions
- Go live
- Project management activity for this tasks</x:t>
  </x:si>
  <x:si>
    <x:t xml:space="preserve">Support &amp; Maintenance (non capitalizable)</x:t>
  </x:si>
  <x:si>
    <x:t xml:space="preserve">SC 30</x:t>
  </x:si>
  <x:si>
    <x:t xml:space="preserve">2nd Level-Support</x:t>
  </x:si>
  <x:si>
    <x:t xml:space="preserve">- Phase: after go live
- Analyses, management of bug fixing
- Specification of the occured bugs
- Forwording of bugs if required
- Concerns also OSS and R&amp;D for SAP</x:t>
  </x:si>
  <x:si>
    <x:t xml:space="preserve">Maintenance</x:t>
  </x:si>
  <x:si>
    <x:t xml:space="preserve">- Phase: after go live
- Bug fixing
- Performance tuning based on technical necessities
- Innovation based on further technical developments</x:t>
  </x:si>
  <x:si>
    <x:t xml:space="preserve">Infrastructure Operations (non capitalizable)</x:t>
  </x:si>
  <x:si>
    <x:t xml:space="preserve">SC 40</x:t>
  </x:si>
  <x:si>
    <x:t xml:space="preserve">- Services of Metro Systems division "Infrastructure Operations"</x:t>
  </x:si>
  <x:si>
    <x:t xml:space="preserve">Application Operations (non capitalizable)</x:t>
  </x:si>
  <x:si>
    <x:t xml:space="preserve">SC 50</x:t>
  </x:si>
  <x:si>
    <x:t xml:space="preserve">- Services of Metro Systems division "Application Operations"</x:t>
  </x:si>
  <x:si>
    <x:t xml:space="preserve">Software Licences (capitalizable)</x:t>
  </x:si>
  <x:si>
    <x:t xml:space="preserve">SC 90</x:t>
  </x:si>
  <x:si>
    <x:t xml:space="preserve">- License costs for external standard software, e.g. Oracle, Tivoli, SAP, SAF etc.
- Maintance of external software belongs to the service category 30</x:t>
  </x:si>
</x:sst>
</file>

<file path=xl/styles.xml><?xml version="1.0" encoding="utf-8"?>
<x:styleSheet xmlns:x="http://schemas.openxmlformats.org/spreadsheetml/2006/main">
  <x:numFmts count="9">
    <x:numFmt numFmtId="164" formatCode="#,##0.0\ &quot;€&quot;"/>
    <x:numFmt numFmtId="165" formatCode="#,##0.00&quot; €&quot;;\-#,##0.00&quot; €&quot;"/>
    <x:numFmt numFmtId="166" formatCode="#,##0\ &quot;BT&quot;"/>
    <x:numFmt numFmtId="167" formatCode="#,##0\ &quot;Years&quot;"/>
    <x:numFmt numFmtId="168" formatCode="#,##0\ &quot;€&quot;"/>
    <x:numFmt numFmtId="169" formatCode="#,##0&quot; €&quot;;[Red]\-#,##0&quot; €&quot;"/>
    <x:numFmt numFmtId="170" formatCode="0;;@"/>
    <x:numFmt numFmtId="200" formatCode="#,##0;[Red](#,##0);-"/>
    <x:numFmt numFmtId="201" formatCode="0.0%;[Red](0.0%);-"/>
  </x:numFmts>
  <x:fonts count="42">
    <x:font>
      <x:sz val="10"/>
      <x:name val="Arial"/>
    </x:font>
    <x:font>
      <x:sz val="10"/>
      <x:name val="Arial"/>
    </x:font>
    <x:font>
      <x:sz val="10"/>
      <x:name val="MS Sans Serif"/>
    </x:font>
    <x:font>
      <x:sz val="8"/>
      <x:name val="Arial"/>
    </x:font>
    <x:font>
      <x:sz val="10"/>
      <x:name val="Arial"/>
    </x:font>
    <x:font>
      <x:b/>
      <x:sz val="10"/>
      <x:name val="Arial"/>
    </x:font>
    <x:font>
      <x:b/>
      <x:sz val="10"/>
      <x:color indexed="9"/>
      <x:name val="Arial"/>
    </x:font>
    <x:font>
      <x:sz val="12"/>
      <x:name val="Arial"/>
    </x:font>
    <x:font>
      <x:sz val="10"/>
      <x:name val="Arial"/>
    </x:font>
    <x:font>
      <x:sz val="10"/>
      <x:color rgb="FF000000"/>
      <x:name val="Arial"/>
    </x:font>
    <x:font>
      <x:sz val="10"/>
      <x:name val="Arial"/>
    </x:font>
    <x:font>
      <x:sz val="10"/>
      <x:color theme="0" tint="-0.15"/>
      <x:name val="Arial"/>
    </x:font>
    <x:font>
      <x:sz val="10"/>
      <x:name val="Roboto"/>
    </x:font>
    <x:font>
      <x:b/>
      <x:sz val="10"/>
      <x:name val="Roboto"/>
    </x:font>
    <x:font>
      <x:b/>
      <x:sz val="10"/>
      <x:name val="Roboto"/>
    </x:font>
    <x:font>
      <x:b/>
      <x:sz val="10"/>
      <x:color rgb="FFC00000"/>
      <x:name val="Roboto"/>
    </x:font>
    <x:font>
      <x:sz val="10"/>
      <x:color rgb="FFC00000"/>
      <x:name val="Roboto"/>
    </x:font>
    <x:font>
      <x:b/>
      <x:sz val="10"/>
      <x:color theme="0"/>
      <x:name val="Roboto"/>
    </x:font>
    <x:font>
      <x:sz val="10"/>
      <x:color theme="1" tint="0.24998"/>
      <x:name val="Roboto"/>
    </x:font>
    <x:font>
      <x:b/>
      <x:sz val="16"/>
      <x:color theme="0"/>
      <x:name val="Roboto"/>
    </x:font>
    <x:font>
      <x:b/>
      <x:sz val="10"/>
      <x:color theme="3"/>
      <x:name val="Roboto"/>
    </x:font>
    <x:font>
      <x:sz val="10"/>
      <x:color theme="3"/>
      <x:name val="Roboto"/>
    </x:font>
    <x:font>
      <x:sz val="9"/>
      <x:name val="Roboto"/>
    </x:font>
    <x:font>
      <x:b/>
      <x:sz val="14"/>
      <x:color theme="3"/>
      <x:name val="Roboto"/>
    </x:font>
    <x:font>
      <x:sz val="14"/>
      <x:color theme="3"/>
      <x:name val="Roboto"/>
    </x:font>
    <x:font>
      <x:b/>
      <x:sz val="28"/>
      <x:color rgb="FFFBE400"/>
      <x:name val="Verdana"/>
    </x:font>
    <x:font>
      <x:b/>
      <x:sz val="12"/>
      <x:color theme="3"/>
      <x:name val="Roboto"/>
    </x:font>
    <x:font>
      <x:sz val="12"/>
      <x:color theme="3"/>
      <x:name val="Roboto"/>
    </x:font>
    <x:font>
      <x:b/>
      <x:sz val="10"/>
      <x:color theme="1" tint="0.24998"/>
      <x:name val="Roboto"/>
    </x:font>
    <x:font>
      <x:sz val="9"/>
      <x:color theme="1" tint="0.24998"/>
      <x:name val="Roboto"/>
    </x:font>
    <x:font>
      <x:b/>
      <x:sz val="14"/>
      <x:color theme="3"/>
      <x:name val="Roboto"/>
    </x:font>
    <x:font>
      <x:b/>
      <x:sz val="9"/>
      <x:color theme="1" tint="0.24998"/>
      <x:name val="Roboto"/>
    </x:font>
    <x:font>
      <x:b/>
      <x:sz val="10"/>
      <x:color theme="1" tint="0.34999"/>
      <x:name val="Roboto"/>
    </x:font>
    <x:font>
      <x:sz val="10"/>
      <x:color theme="10"/>
      <x:name val="Arial"/>
    </x:font>
    <x:font>
      <x:b/>
      <x:sz val="22"/>
      <x:color theme="9" tint="-0.24998"/>
      <x:name val="Arial"/>
    </x:font>
    <x:font>
      <x:b/>
      <x:sz val="48"/>
      <x:color rgb="FFFBE400"/>
      <x:name val="Roboto"/>
    </x:font>
    <x:font>
      <x:b/>
      <x:sz val="72"/>
      <x:color rgb="FFFBE400"/>
      <x:name val="Roboto"/>
    </x:font>
    <x:font>
      <x:b/>
      <x:sz val="10"/>
      <x:color rgb="FFCCEBFF"/>
      <x:name val="Roboto"/>
    </x:font>
    <x:font>
      <x:b/>
      <x:sz val="14"/>
      <x:color theme="3"/>
      <x:name val="Arial"/>
    </x:font>
    <x:font>
      <x:sz val="10"/>
      <x:color theme="3"/>
      <x:name val="Arial"/>
    </x:font>
    <x:font>
      <x:b/>
      <x:sz val="10"/>
      <x:name val="Arial"/>
    </x:font>
    <x:font>
      <x:sz val="11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theme="0"/>
      </x:patternFill>
    </x:fill>
    <x:fill>
      <x:patternFill patternType="solid">
        <x:fgColor theme="3"/>
      </x:patternFill>
    </x:fill>
    <x:fill>
      <x:patternFill patternType="solid">
        <x:fgColor theme="0" tint="-0.15"/>
      </x:patternFill>
    </x:fill>
    <x:fill>
      <x:patternFill patternType="solid">
        <x:fgColor theme="4" tint="0.79998"/>
      </x:patternFill>
    </x:fill>
    <x:fill>
      <x:patternFill patternType="solid">
        <x:fgColor rgb="FFCCEBFF"/>
      </x:patternFill>
    </x:fill>
    <x:fill>
      <x:patternFill patternType="solid">
        <x:fgColor rgb="FFEEEEEE"/>
      </x:patternFill>
    </x:fill>
    <x:fill>
      <x:patternFill patternType="solid">
        <x:fgColor rgb="FFFEF9CC"/>
      </x:patternFill>
    </x:fill>
    <x:fill>
      <x:patternFill patternType="solid">
        <x:fgColor rgb="FFF4F4F4"/>
      </x:patternFill>
    </x:fill>
  </x:fills>
  <x:borders count="70">
    <x:border/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0" tint="-0.15"/>
      </x:left>
      <x:right style="thin">
        <x:color theme="0" tint="-0.15"/>
      </x:right>
      <x:top style="thin">
        <x:color theme="0" tint="-0.15"/>
      </x:top>
      <x:bottom style="thin">
        <x:color theme="0" tint="-0.15"/>
      </x:bottom>
    </x:border>
    <x:border>
      <x:bottom style="thin">
        <x:color theme="0" tint="-0.15"/>
      </x:bottom>
    </x:border>
    <x:border>
      <x:right style="thin">
        <x:color theme="0" tint="-0.15"/>
      </x:right>
      <x:top style="thin">
        <x:color theme="0" tint="-0.15"/>
      </x:top>
      <x:bottom style="thin">
        <x:color theme="0" tint="-0.15"/>
      </x:bottom>
    </x:border>
    <x:border>
      <x:top style="thin">
        <x:color theme="0" tint="-0.15"/>
      </x:top>
      <x:bottom style="thin">
        <x:color theme="0" tint="-0.15"/>
      </x:bottom>
    </x:border>
    <x:border>
      <x:top style="thin">
        <x:color theme="0" tint="-0.15"/>
      </x:top>
    </x:border>
    <x:border>
      <x:left style="thin">
        <x:color theme="0" tint="-0.15"/>
      </x:left>
      <x:right style="thin">
        <x:color theme="0" tint="-0.15"/>
      </x:right>
      <x:top style="thin">
        <x:color theme="0" tint="-0.15"/>
      </x:top>
    </x:border>
    <x:border>
      <x:right style="thin">
        <x:color theme="0" tint="-0.15"/>
      </x:right>
      <x:bottom style="thin">
        <x:color theme="0" tint="-0.15"/>
      </x:bottom>
    </x:border>
    <x:border>
      <x:left style="thin">
        <x:color theme="0" tint="-0.15"/>
      </x:left>
      <x:top style="thin">
        <x:color theme="0" tint="-0.15"/>
      </x:top>
      <x:bottom style="thin">
        <x:color theme="0" tint="-0.15"/>
      </x:bottom>
    </x:border>
    <x:border>
      <x:left style="thin">
        <x:color theme="0" tint="-0.15"/>
      </x:left>
    </x:border>
    <x:border>
      <x:right style="thin">
        <x:color theme="0" tint="-0.15"/>
      </x:right>
    </x:border>
    <x:border>
      <x:left style="thin">
        <x:color theme="0" tint="-0.15"/>
      </x:left>
      <x:top style="thin">
        <x:color theme="0" tint="-0.15"/>
      </x:top>
    </x:border>
    <x:border>
      <x:right style="thin">
        <x:color theme="0" tint="-0.15"/>
      </x:right>
      <x:top style="thin">
        <x:color theme="0" tint="-0.15"/>
      </x:top>
    </x:border>
    <x:border>
      <x:left style="thin">
        <x:color theme="0" tint="-0.15"/>
      </x:left>
      <x:bottom style="thin">
        <x:color theme="0" tint="-0.15"/>
      </x:bottom>
    </x:border>
    <x:border>
      <x:right style="thin">
        <x:color theme="3"/>
      </x:right>
    </x:border>
    <x:border>
      <x:left style="thin">
        <x:color theme="3"/>
      </x:left>
      <x:bottom style="thin">
        <x:color theme="3"/>
      </x:bottom>
    </x:border>
    <x:border>
      <x:bottom style="thin">
        <x:color theme="3"/>
      </x:bottom>
    </x:border>
    <x:border>
      <x:top style="thin">
        <x:color theme="0" tint="-0.15"/>
      </x:top>
      <x:bottom style="thin">
        <x:color theme="3"/>
      </x:bottom>
    </x:border>
    <x:border>
      <x:top style="thin">
        <x:color theme="3"/>
      </x:top>
    </x:border>
    <x:border>
      <x:left style="thin">
        <x:color theme="0" tint="-0.15"/>
      </x:left>
      <x:right style="thin">
        <x:color theme="3"/>
      </x:right>
    </x:border>
    <x:border>
      <x:left style="thin">
        <x:color theme="3"/>
      </x:left>
      <x:top style="thin">
        <x:color theme="3"/>
      </x:top>
    </x:border>
    <x:border>
      <x:left style="thin">
        <x:color theme="3"/>
      </x:left>
    </x:border>
    <x:border>
      <x:left style="medium">
        <x:color theme="9" tint="-0.24998"/>
      </x:left>
      <x:right style="medium">
        <x:color theme="9" tint="-0.24998"/>
      </x:right>
      <x:top style="medium">
        <x:color theme="9" tint="-0.24998"/>
      </x:top>
    </x:border>
    <x:border>
      <x:left style="medium">
        <x:color theme="9" tint="-0.24998"/>
      </x:left>
      <x:right style="medium">
        <x:color theme="9" tint="-0.24998"/>
      </x:right>
      <x:bottom style="medium">
        <x:color theme="9" tint="-0.24998"/>
      </x:bottom>
    </x:border>
    <x:border>
      <x:left style="thin">
        <x:color indexed="64"/>
      </x:left>
      <x:bottom style="thin">
        <x:color indexed="64"/>
      </x:bottom>
    </x:border>
    <x:border>
      <x:left style="thin">
        <x:color theme="0" tint="-0.49998"/>
      </x:left>
      <x:top style="thin">
        <x:color theme="0" tint="-0.49998"/>
      </x:top>
    </x:border>
    <x:border>
      <x:right style="thin">
        <x:color theme="0" tint="-0.49998"/>
      </x:right>
      <x:top style="thin">
        <x:color theme="0" tint="-0.49998"/>
      </x:top>
    </x:border>
    <x:border>
      <x:left style="thin">
        <x:color theme="0" tint="-0.49998"/>
      </x:left>
    </x:border>
    <x:border>
      <x:right style="thin">
        <x:color theme="0" tint="-0.49998"/>
      </x:right>
    </x:border>
    <x:border>
      <x:left style="thin">
        <x:color theme="0" tint="-0.49998"/>
      </x:left>
      <x:bottom style="thin">
        <x:color theme="0" tint="-0.49998"/>
      </x:bottom>
    </x:border>
    <x:border>
      <x:right style="thin">
        <x:color theme="0" tint="-0.49998"/>
      </x:right>
      <x:bottom style="thin">
        <x:color theme="0" tint="-0.49998"/>
      </x:bottom>
    </x:border>
    <x:border>
      <x:left style="thin">
        <x:color indexed="64"/>
      </x:left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0" tint="-0.15"/>
      </x:left>
      <x:right style="thin">
        <x:color theme="0" tint="-0.15"/>
      </x:right>
      <x:top style="thin">
        <x:color theme="0" tint="-0.15"/>
      </x:top>
      <x:bottom style="thin">
        <x:color theme="0" tint="-0.15"/>
      </x:bottom>
    </x:border>
    <x:border>
      <x:bottom style="thin">
        <x:color theme="0" tint="-0.15"/>
      </x:bottom>
    </x:border>
    <x:border>
      <x:top style="thin">
        <x:color theme="0" tint="-0.15"/>
      </x:top>
    </x:border>
    <x:border>
      <x:left style="thin">
        <x:color theme="0" tint="-0.15"/>
      </x:left>
      <x:right style="thin">
        <x:color theme="0" tint="-0.15"/>
      </x:right>
      <x:top style="thin">
        <x:color theme="0" tint="-0.15"/>
      </x:top>
    </x:border>
    <x:border>
      <x:right style="thin">
        <x:color theme="0" tint="-0.15"/>
      </x:right>
      <x:bottom style="thin">
        <x:color theme="0" tint="-0.15"/>
      </x:bottom>
    </x:border>
    <x:border>
      <x:right style="thin">
        <x:color theme="0" tint="-0.15"/>
      </x:right>
      <x:top style="thin">
        <x:color theme="0" tint="-0.15"/>
      </x:top>
      <x:bottom style="thin">
        <x:color theme="0" tint="-0.15"/>
      </x:bottom>
    </x:border>
    <x:border>
      <x:left style="thin">
        <x:color theme="0" tint="-0.15"/>
      </x:left>
      <x:top style="thin">
        <x:color theme="0" tint="-0.15"/>
      </x:top>
      <x:bottom style="thin">
        <x:color theme="0" tint="-0.15"/>
      </x:bottom>
    </x:border>
    <x:border>
      <x:right style="thin">
        <x:color theme="0" tint="-0.15"/>
      </x:right>
    </x:border>
    <x:border>
      <x:right style="thin">
        <x:color theme="0" tint="-0.15"/>
      </x:right>
      <x:top style="thin">
        <x:color theme="0" tint="-0.15"/>
      </x:top>
    </x:border>
    <x:border>
      <x:left style="thin">
        <x:color theme="0" tint="-0.15"/>
      </x:left>
    </x:border>
    <x:border>
      <x:left style="thin">
        <x:color theme="0" tint="-0.15"/>
      </x:left>
      <x:top style="thin">
        <x:color theme="0" tint="-0.15"/>
      </x:top>
    </x:border>
    <x:border>
      <x:left style="thin">
        <x:color theme="0" tint="-0.15"/>
      </x:left>
      <x:bottom style="thin">
        <x:color theme="0" tint="-0.15"/>
      </x:bottom>
    </x:border>
    <x:border>
      <x:left style="thin">
        <x:color theme="3"/>
      </x:left>
      <x:bottom style="thin">
        <x:color theme="3"/>
      </x:bottom>
    </x:border>
    <x:border>
      <x:bottom style="thin">
        <x:color theme="3"/>
      </x:bottom>
    </x:border>
    <x:border>
      <x:top style="thin">
        <x:color theme="0" tint="-0.15"/>
      </x:top>
      <x:bottom style="thin">
        <x:color theme="3"/>
      </x:bottom>
    </x:border>
    <x:border>
      <x:right style="thin">
        <x:color theme="3"/>
      </x:right>
    </x:border>
    <x:border>
      <x:top style="thin">
        <x:color theme="3"/>
      </x:top>
    </x:border>
    <x:border>
      <x:left style="thin">
        <x:color theme="0" tint="-0.15"/>
      </x:left>
      <x:right style="thin">
        <x:color theme="3"/>
      </x:right>
    </x:border>
    <x:border>
      <x:top style="thin">
        <x:color theme="0" tint="-0.15"/>
      </x:top>
      <x:bottom style="thin">
        <x:color theme="0" tint="-0.15"/>
      </x:bottom>
    </x:border>
    <x:border>
      <x:left style="thin">
        <x:color theme="3"/>
      </x:left>
      <x:top style="thin">
        <x:color theme="3"/>
      </x:top>
    </x:border>
    <x:border>
      <x:left style="thin">
        <x:color theme="3"/>
      </x:left>
    </x:border>
    <x:border>
      <x:left style="thin">
        <x:color indexed="64"/>
      </x:left>
      <x:bottom style="thin">
        <x:color indexed="64"/>
      </x:bottom>
    </x:border>
    <x:border>
      <x:left style="thin">
        <x:color theme="0" tint="-0.49998"/>
      </x:left>
      <x:top style="thin">
        <x:color theme="0" tint="-0.49998"/>
      </x:top>
    </x:border>
    <x:border>
      <x:right style="thin">
        <x:color theme="0" tint="-0.49998"/>
      </x:right>
      <x:top style="thin">
        <x:color theme="0" tint="-0.49998"/>
      </x:top>
    </x:border>
    <x:border>
      <x:left style="thin">
        <x:color theme="0" tint="-0.49998"/>
      </x:left>
    </x:border>
    <x:border>
      <x:right style="thin">
        <x:color theme="0" tint="-0.49998"/>
      </x:right>
    </x:border>
    <x:border>
      <x:left style="thin">
        <x:color indexed="64"/>
      </x:left>
    </x:border>
    <x:border>
      <x:left style="medium">
        <x:color theme="9" tint="-0.24998"/>
      </x:left>
      <x:right style="medium">
        <x:color theme="9" tint="-0.24998"/>
      </x:right>
      <x:top style="medium">
        <x:color theme="9" tint="-0.24998"/>
      </x:top>
    </x:border>
    <x:border>
      <x:left style="medium">
        <x:color theme="9" tint="-0.24998"/>
      </x:left>
      <x:right style="medium">
        <x:color theme="9" tint="-0.24998"/>
      </x:right>
      <x:bottom style="medium">
        <x:color theme="9" tint="-0.24998"/>
      </x:bottom>
    </x:border>
    <x:border>
      <x:left style="thin">
        <x:color theme="0" tint="-0.49998"/>
      </x:left>
      <x:bottom style="thin">
        <x:color theme="0" tint="-0.49998"/>
      </x:bottom>
    </x:border>
    <x:border>
      <x:right style="thin">
        <x:color theme="0" tint="-0.49998"/>
      </x:right>
      <x:bottom style="thin">
        <x:color theme="0" tint="-0.49998"/>
      </x:bottom>
    </x:border>
  </x:borders>
  <x:cellStyleXfs count="11">
    <x:xf numFmtId="0" fontId="0" fillId="0" borderId="0"/>
    <x:xf numFmtId="0" fontId="4" fillId="0" borderId="0"/>
    <x:xf numFmtId="0" fontId="1" fillId="0" borderId="0"/>
    <x:xf numFmtId="0" fontId="8" fillId="0" borderId="0"/>
    <x:xf numFmtId="0" fontId="1" fillId="0" borderId="0"/>
    <x:xf numFmtId="0" fontId="2" fillId="0" borderId="0"/>
    <x:xf numFmtId="9" fontId="10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33" fillId="0" borderId="0" applyNumberFormat="0" applyFill="0" applyBorder="0" applyAlignment="0" applyProtection="0"/>
    <x:xf numFmtId="0" fontId="1" fillId="0" borderId="0"/>
    <x:xf numFmtId="0" fontId="1" fillId="0" borderId="0"/>
  </x:cellStyleXfs>
  <x:cellXfs count="793">
    <x:xf numFmtId="0" fontId="0" fillId="0" borderId="0" xfId="0"/>
    <x:xf numFmtId="0" fontId="4" fillId="2" borderId="0" xfId="5" applyFont="1" applyFill="1"/>
    <x:xf numFmtId="0" fontId="7" fillId="0" borderId="0" xfId="0" applyFont="1"/>
    <x:xf numFmtId="0" fontId="4" fillId="0" borderId="0" xfId="0" applyFont="1"/>
    <x:xf numFmtId="164" fontId="4" fillId="0" borderId="0" xfId="0" applyNumberFormat="1" applyFont="1"/>
    <x:xf numFmtId="4" fontId="4" fillId="0" borderId="0" xfId="0" applyNumberFormat="1" applyFont="1"/>
    <x:xf numFmtId="0" fontId="7" fillId="2" borderId="0" xfId="0" applyFont="1" applyFill="1"/>
    <x:xf numFmtId="0" fontId="4" fillId="2" borderId="0" xfId="0" applyFont="1" applyFill="1"/>
    <x:xf numFmtId="0" fontId="0" fillId="3" borderId="0" xfId="0" applyFill="1"/>
    <x:xf numFmtId="0" fontId="0" fillId="3" borderId="2" xfId="0" applyFill="1" applyBorder="1"/>
    <x:xf numFmtId="0" fontId="9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9" fillId="0" borderId="0" xfId="0" applyFont="1" applyAlignment="1">
      <x:alignment vertical="center"/>
    </x:xf>
    <x:xf numFmtId="0" fontId="4" fillId="0" borderId="0" xfId="0" applyFont="1" applyAlignment="1">
      <x:alignment horizontal="center" vertical="top"/>
    </x:xf>
    <x:xf numFmtId="0" fontId="4" fillId="0" borderId="0" xfId="0" applyFont="1" applyAlignment="1">
      <x:alignment horizontal="right" vertical="top"/>
    </x:xf>
    <x:xf numFmtId="0" fontId="4" fillId="2" borderId="0" xfId="3" applyFont="1" applyFill="1" applyBorder="1" applyAlignment="1">
      <x:alignment horizontal="left"/>
    </x:xf>
    <x:xf numFmtId="9" fontId="0" fillId="3" borderId="0" xfId="6" applyFont="1" applyFill="1"/>
    <x:xf numFmtId="0" fontId="5" fillId="3" borderId="2" xfId="0" applyFont="1" applyFill="1" applyBorder="1"/>
    <x:xf numFmtId="10" fontId="0" fillId="3" borderId="2" xfId="6" applyNumberFormat="1" applyFont="1" applyFill="1" applyBorder="1"/>
    <x:xf numFmtId="0" fontId="1" fillId="3" borderId="2" xfId="0" applyFont="1" applyFill="1" applyBorder="1"/>
    <x:xf numFmtId="0" fontId="1" fillId="2" borderId="0" xfId="5" applyFont="1" applyFill="1" applyBorder="1"/>
    <x:xf numFmtId="49" fontId="1" fillId="0" borderId="2" xfId="0" applyNumberFormat="1" applyFont="1" applyFill="1" applyBorder="1" applyAlignment="1">
      <x:alignment wrapText="1"/>
    </x:xf>
    <x:xf numFmtId="168" fontId="1" fillId="0" borderId="2" xfId="0" applyNumberFormat="1" applyFont="1" applyFill="1" applyBorder="1" applyAlignment="1">
      <x:alignment wrapText="1"/>
    </x:xf>
    <x:xf numFmtId="49" fontId="11" fillId="5" borderId="2" xfId="0" applyNumberFormat="1" applyFont="1" applyFill="1" applyBorder="1" applyAlignment="1">
      <x:alignment wrapText="1"/>
    </x:xf>
    <x:xf numFmtId="0" fontId="11" fillId="5" borderId="2" xfId="0" applyFont="1" applyFill="1" applyBorder="1" applyAlignment="1">
      <x:alignment wrapText="1"/>
    </x:xf>
    <x:xf numFmtId="0" fontId="1" fillId="5" borderId="1" xfId="0" applyFont="1" applyFill="1" applyBorder="1" applyAlignment="1">
      <x:alignment wrapText="1"/>
    </x:xf>
    <x:xf numFmtId="0" fontId="5" fillId="5" borderId="2" xfId="5" applyFont="1" applyFill="1" applyBorder="1" applyAlignment="1">
      <x:alignment horizontal="right"/>
    </x:xf>
    <x:xf numFmtId="0" fontId="5" fillId="5" borderId="3" xfId="5" applyFont="1" applyFill="1" applyBorder="1" applyAlignment="1">
      <x:alignment horizontal="right"/>
    </x:xf>
    <x:xf numFmtId="1" fontId="5" fillId="5" borderId="3" xfId="0" applyNumberFormat="1" applyFont="1" applyFill="1" applyBorder="1" applyAlignment="1">
      <x:alignment horizontal="center"/>
    </x:xf>
    <x:xf numFmtId="49" fontId="5" fillId="3" borderId="2" xfId="5" applyNumberFormat="1" applyFont="1" applyFill="1" applyBorder="1" applyAlignment="1">
      <x:alignment horizontal="right"/>
    </x:xf>
    <x:xf numFmtId="0" fontId="1" fillId="5" borderId="1" xfId="5" applyFont="1" applyFill="1" applyBorder="1" applyAlignment="1">
      <x:alignment horizontal="left"/>
    </x:xf>
    <x:xf numFmtId="0" fontId="5" fillId="5" borderId="1" xfId="5" applyFont="1" applyFill="1" applyBorder="1" applyAlignment="1">
      <x:alignment horizontal="left"/>
    </x:xf>
    <x:xf numFmtId="0" fontId="11" fillId="5" borderId="1" xfId="0" applyFont="1" applyFill="1" applyBorder="1" applyAlignment="1">
      <x:alignment wrapText="1"/>
    </x:xf>
    <x:xf numFmtId="0" fontId="12" fillId="2" borderId="0" xfId="2" applyFont="1" applyFill="1"/>
    <x:xf numFmtId="0" fontId="12" fillId="3" borderId="0" xfId="2" applyFont="1" applyFill="1"/>
    <x:xf numFmtId="0" fontId="12" fillId="2" borderId="0" xfId="2" applyFont="1" applyFill="1" applyBorder="1"/>
    <x:xf numFmtId="0" fontId="14" fillId="2" borderId="0" xfId="2" applyFont="1" applyFill="1" applyBorder="1"/>
    <x:xf numFmtId="0" fontId="12" fillId="2" borderId="0" xfId="2" applyFont="1" applyFill="1" applyBorder="1" applyAlignment="1">
      <x:alignment vertical="center"/>
    </x:xf>
    <x:xf numFmtId="0" fontId="12" fillId="2" borderId="0" xfId="2" applyFont="1" applyFill="1" applyBorder="1" applyAlignment="1">
      <x:alignment horizontal="left"/>
    </x:xf>
    <x:xf numFmtId="0" fontId="13" fillId="2" borderId="0" xfId="2" applyFont="1" applyFill="1" applyBorder="1" applyAlignment="1">
      <x:alignment horizontal="center"/>
    </x:xf>
    <x:xf numFmtId="165" fontId="13" fillId="2" borderId="0" xfId="2" applyNumberFormat="1" applyFont="1" applyFill="1" applyBorder="1" applyAlignment="1">
      <x:alignment horizontal="center"/>
    </x:xf>
    <x:xf numFmtId="0" fontId="13" fillId="2" borderId="0" xfId="2" applyFont="1" applyFill="1" applyBorder="1" applyAlignment="1">
      <x:alignment horizontal="left"/>
    </x:xf>
    <x:xf numFmtId="0" fontId="12" fillId="2" borderId="0" xfId="0" applyFont="1" applyFill="1" applyBorder="1"/>
    <x:xf numFmtId="166" fontId="12" fillId="2" borderId="0" xfId="2" applyNumberFormat="1" applyFont="1" applyFill="1" applyBorder="1"/>
    <x:xf numFmtId="0" fontId="13" fillId="2" borderId="0" xfId="2" applyFont="1" applyFill="1" applyBorder="1"/>
    <x:xf numFmtId="167" fontId="12" fillId="3" borderId="0" xfId="2" applyNumberFormat="1" applyFont="1" applyFill="1" applyBorder="1" applyAlignment="1">
      <x:alignment horizontal="right"/>
    </x:xf>
    <x:xf numFmtId="166" fontId="12" fillId="3" borderId="0" xfId="2" applyNumberFormat="1" applyFont="1" applyFill="1" applyBorder="1"/>
    <x:xf numFmtId="167" fontId="12" fillId="3" borderId="0" xfId="2" applyNumberFormat="1" applyFont="1" applyFill="1" applyBorder="1" applyAlignment="1">
      <x:alignment horizontal="left"/>
    </x:xf>
    <x:xf numFmtId="0" fontId="13" fillId="2" borderId="0" xfId="2" applyFont="1" applyFill="1"/>
    <x:xf numFmtId="3" fontId="12" fillId="2" borderId="0" xfId="2" applyNumberFormat="1" applyFont="1" applyFill="1" applyBorder="1"/>
    <x:xf numFmtId="0" fontId="12" fillId="3" borderId="0" xfId="2" applyFont="1" applyFill="1" applyBorder="1" applyAlignment="1">
      <x:alignment vertical="center"/>
    </x:xf>
    <x:xf numFmtId="0" fontId="13" fillId="3" borderId="0" xfId="2" applyFont="1" applyFill="1"/>
    <x:xf numFmtId="0" fontId="12" fillId="2" borderId="0" xfId="2" applyFont="1" applyFill="1" applyAlignment="1">
      <x:alignment vertical="center"/>
    </x:xf>
    <x:xf numFmtId="0" fontId="13" fillId="3" borderId="0" xfId="2" applyFont="1" applyFill="1" applyBorder="1"/>
    <x:xf numFmtId="0" fontId="12" fillId="3" borderId="0" xfId="2" applyFont="1" applyFill="1" applyBorder="1"/>
    <x:xf numFmtId="0" fontId="12" fillId="2" borderId="0" xfId="2" applyFont="1" applyFill="1" applyBorder="1" applyAlignment="1">
      <x:alignment horizontal="left" wrapText="1"/>
    </x:xf>
    <x:xf numFmtId="0" fontId="12" fillId="3" borderId="0" xfId="2" applyFont="1" applyFill="1" applyBorder="1" applyAlignment="1">
      <x:alignment horizontal="left" vertical="center"/>
    </x:xf>
    <x:xf numFmtId="0" fontId="12" fillId="4" borderId="0" xfId="2" applyFont="1" applyFill="1"/>
    <x:xf numFmtId="0" fontId="17" fillId="4" borderId="0" xfId="2" applyFont="1" applyFill="1"/>
    <x:xf numFmtId="0" fontId="12" fillId="6" borderId="0" xfId="2" applyFont="1" applyFill="1"/>
    <x:xf numFmtId="0" fontId="12" fillId="6" borderId="0" xfId="2" applyFont="1" applyFill="1" applyBorder="1"/>
    <x:xf numFmtId="0" fontId="12" fillId="6" borderId="0" xfId="2" applyFont="1" applyFill="1" applyBorder="1" applyAlignment="1">
      <x:alignment vertical="center"/>
    </x:xf>
    <x:xf numFmtId="0" fontId="13" fillId="3" borderId="0" xfId="5" applyFont="1" applyFill="1" applyBorder="1" applyAlignment="1">
      <x:alignment horizontal="right" vertical="center"/>
    </x:xf>
    <x:xf numFmtId="15" fontId="13" fillId="3" borderId="0" xfId="5" applyNumberFormat="1" applyFont="1" applyFill="1" applyBorder="1" applyAlignment="1">
      <x:alignment horizontal="right" vertical="center"/>
    </x:xf>
    <x:xf numFmtId="0" fontId="13" fillId="3" borderId="0" xfId="2" applyFont="1" applyFill="1" applyBorder="1" applyAlignment="1">
      <x:alignment horizontal="right"/>
    </x:xf>
    <x:xf numFmtId="0" fontId="12" fillId="3" borderId="0" xfId="4" applyNumberFormat="1" applyFont="1" applyFill="1" applyBorder="1" applyAlignment="1">
      <x:alignment horizontal="left" vertical="center" wrapText="1"/>
    </x:xf>
    <x:xf numFmtId="0" fontId="26" fillId="7" borderId="0" xfId="2" applyFont="1" applyFill="1" applyBorder="1" applyAlignment="1">
      <x:alignment horizontal="left"/>
    </x:xf>
    <x:xf numFmtId="0" fontId="27" fillId="7" borderId="0" xfId="2" applyFont="1" applyFill="1" applyBorder="1"/>
    <x:xf numFmtId="0" fontId="27" fillId="7" borderId="0" xfId="2" applyFont="1" applyFill="1" applyBorder="1" applyAlignment="1">
      <x:alignment vertical="center"/>
    </x:xf>
    <x:xf numFmtId="168" fontId="12" fillId="3" borderId="4" xfId="0" applyNumberFormat="1" applyFont="1" applyFill="1" applyBorder="1" applyAlignment="1">
      <x:alignment horizontal="right"/>
    </x:xf>
    <x:xf numFmtId="0" fontId="12" fillId="7" borderId="0" xfId="0" applyFont="1" applyFill="1" applyBorder="1"/>
    <x:xf numFmtId="0" fontId="27" fillId="7" borderId="0" xfId="2" applyFont="1" applyFill="1" applyBorder="1" applyAlignment="1">
      <x:alignment horizontal="left" vertical="center"/>
    </x:xf>
    <x:xf numFmtId="0" fontId="26" fillId="7" borderId="0" xfId="2" applyFont="1" applyFill="1" applyBorder="1" applyAlignment="1">
      <x:alignment horizontal="left" vertical="center"/>
    </x:xf>
    <x:xf numFmtId="0" fontId="12" fillId="8" borderId="0" xfId="0" applyFont="1" applyFill="1" applyBorder="1" applyAlignment="1">
      <x:alignment horizontal="left" vertical="center"/>
    </x:xf>
    <x:xf numFmtId="0" fontId="12" fillId="2" borderId="0" xfId="2" applyFont="1" applyFill="1" applyAlignment="1">
      <x:alignment horizontal="left" vertical="center"/>
    </x:xf>
    <x:xf numFmtId="0" fontId="13" fillId="8" borderId="0" xfId="0" applyFont="1" applyFill="1" applyBorder="1" applyAlignment="1">
      <x:alignment horizontal="left" wrapText="1"/>
    </x:xf>
    <x:xf numFmtId="0" fontId="13" fillId="2" borderId="0" xfId="0" applyFont="1" applyFill="1" applyBorder="1" applyAlignment="1">
      <x:alignment horizontal="left"/>
    </x:xf>
    <x:xf numFmtId="0" fontId="13" fillId="7" borderId="0" xfId="0" applyFont="1" applyFill="1" applyBorder="1" applyAlignment="1">
      <x:alignment horizontal="left"/>
    </x:xf>
    <x:xf numFmtId="0" fontId="28" fillId="8" borderId="5" xfId="0" applyFont="1" applyFill="1" applyBorder="1" applyAlignment="1">
      <x:alignment horizontal="left" wrapText="1"/>
    </x:xf>
    <x:xf numFmtId="0" fontId="13" fillId="2" borderId="0" xfId="2" applyFont="1" applyFill="1" applyAlignment="1">
      <x:alignment horizontal="left"/>
    </x:xf>
    <x:xf numFmtId="0" fontId="13" fillId="8" borderId="0" xfId="0" applyFont="1" applyFill="1" applyBorder="1" applyAlignment="1">
      <x:alignment horizontal="left"/>
    </x:xf>
    <x:xf numFmtId="0" fontId="28" fillId="8" borderId="0" xfId="0" applyFont="1" applyFill="1" applyBorder="1" applyAlignment="1">
      <x:alignment horizontal="left" wrapText="1"/>
    </x:xf>
    <x:xf numFmtId="0" fontId="13" fillId="8" borderId="8" xfId="0" applyFont="1" applyFill="1" applyBorder="1" applyAlignment="1">
      <x:alignment horizontal="left" wrapText="1"/>
    </x:xf>
    <x:xf numFmtId="0" fontId="12" fillId="8" borderId="8" xfId="0" applyFont="1" applyFill="1" applyBorder="1" applyAlignment="1">
      <x:alignment horizontal="center"/>
    </x:xf>
    <x:xf numFmtId="1" fontId="13" fillId="8" borderId="9" xfId="0" applyNumberFormat="1" applyFont="1" applyFill="1" applyBorder="1" applyAlignment="1">
      <x:alignment horizontal="center"/>
    </x:xf>
    <x:xf numFmtId="0" fontId="28" fillId="7" borderId="0" xfId="0" applyFont="1" applyFill="1" applyBorder="1" applyAlignment="1">
      <x:alignment horizontal="left" wrapText="1"/>
    </x:xf>
    <x:xf numFmtId="0" fontId="12" fillId="7" borderId="5" xfId="2" applyFont="1" applyFill="1" applyBorder="1" applyAlignment="1">
      <x:alignment horizontal="left"/>
    </x:xf>
    <x:xf numFmtId="0" fontId="13" fillId="7" borderId="5" xfId="2" applyFont="1" applyFill="1" applyBorder="1" applyAlignment="1">
      <x:alignment wrapText="1"/>
    </x:xf>
    <x:xf numFmtId="49" fontId="12" fillId="7" borderId="10" xfId="0" applyNumberFormat="1" applyFont="1" applyFill="1" applyBorder="1" applyAlignment="1">
      <x:alignment horizontal="right"/>
    </x:xf>
    <x:xf numFmtId="0" fontId="20" fillId="7" borderId="5" xfId="2" applyFont="1" applyFill="1" applyBorder="1" applyAlignment="1">
      <x:alignment horizontal="left"/>
    </x:xf>
    <x:xf numFmtId="167" fontId="12" fillId="3" borderId="4" xfId="2" applyNumberFormat="1" applyFont="1" applyFill="1" applyBorder="1" applyAlignment="1">
      <x:alignment horizontal="right"/>
    </x:xf>
    <x:xf numFmtId="49" fontId="18" fillId="3" borderId="4" xfId="0" applyNumberFormat="1" applyFont="1" applyFill="1" applyBorder="1" applyAlignment="1">
      <x:alignment horizontal="left"/>
    </x:xf>
    <x:xf numFmtId="0" fontId="18" fillId="8" borderId="6" xfId="0" applyFont="1" applyFill="1" applyBorder="1" applyAlignment="1">
      <x:alignment wrapText="1"/>
    </x:xf>
    <x:xf numFmtId="0" fontId="18" fillId="8" borderId="4" xfId="0" applyFont="1" applyFill="1" applyBorder="1" applyAlignment="1">
      <x:alignment wrapText="1"/>
    </x:xf>
    <x:xf numFmtId="0" fontId="28" fillId="8" borderId="4" xfId="0" applyFont="1" applyFill="1" applyBorder="1" applyAlignment="1">
      <x:alignment horizontal="left" wrapText="1"/>
    </x:xf>
    <x:xf numFmtId="0" fontId="28" fillId="8" borderId="4" xfId="0" applyFont="1" applyFill="1" applyBorder="1" applyAlignment="1">
      <x:alignment horizontal="center" wrapText="1"/>
    </x:xf>
    <x:xf numFmtId="1" fontId="28" fillId="8" borderId="4" xfId="0" applyNumberFormat="1" applyFont="1" applyFill="1" applyBorder="1" applyAlignment="1">
      <x:alignment horizontal="center"/>
    </x:xf>
    <x:xf numFmtId="0" fontId="13" fillId="7" borderId="0" xfId="2" applyFont="1" applyFill="1" applyBorder="1"/>
    <x:xf numFmtId="0" fontId="12" fillId="7" borderId="0" xfId="2" applyFont="1" applyFill="1" applyBorder="1" applyAlignment="1">
      <x:alignment horizontal="center" vertical="center"/>
    </x:xf>
    <x:xf numFmtId="3" fontId="12" fillId="10" borderId="0" xfId="2" applyNumberFormat="1" applyFont="1" applyFill="1" applyBorder="1"/>
    <x:xf numFmtId="1" fontId="28" fillId="8" borderId="11" xfId="0" applyNumberFormat="1" applyFont="1" applyFill="1" applyBorder="1" applyAlignment="1">
      <x:alignment horizontal="center"/>
    </x:xf>
    <x:xf numFmtId="0" fontId="12" fillId="8" borderId="13" xfId="0" applyFont="1" applyFill="1" applyBorder="1" applyAlignment="1">
      <x:alignment horizontal="left" vertical="center"/>
    </x:xf>
    <x:xf numFmtId="0" fontId="13" fillId="8" borderId="13" xfId="0" applyFont="1" applyFill="1" applyBorder="1" applyAlignment="1">
      <x:alignment horizontal="left" wrapText="1"/>
    </x:xf>
    <x:xf numFmtId="0" fontId="13" fillId="8" borderId="13" xfId="0" applyFont="1" applyFill="1" applyBorder="1" applyAlignment="1">
      <x:alignment horizontal="left"/>
    </x:xf>
    <x:xf numFmtId="3" fontId="12" fillId="10" borderId="13" xfId="2" applyNumberFormat="1" applyFont="1" applyFill="1" applyBorder="1"/>
    <x:xf numFmtId="0" fontId="23" fillId="3" borderId="8" xfId="2" applyFont="1" applyFill="1" applyBorder="1"/>
    <x:xf numFmtId="0" fontId="12" fillId="3" borderId="8" xfId="2" applyFont="1" applyFill="1" applyBorder="1"/>
    <x:xf numFmtId="0" fontId="12" fillId="3" borderId="8" xfId="2" applyFont="1" applyFill="1" applyBorder="1" applyAlignment="1">
      <x:alignment vertical="center"/>
    </x:xf>
    <x:xf numFmtId="0" fontId="12" fillId="3" borderId="15" xfId="2" applyFont="1" applyFill="1" applyBorder="1"/>
    <x:xf numFmtId="0" fontId="13" fillId="2" borderId="13" xfId="2" applyFont="1" applyFill="1" applyBorder="1" applyAlignment="1">
      <x:alignment horizontal="center"/>
    </x:xf>
    <x:xf numFmtId="0" fontId="12" fillId="2" borderId="12" xfId="2" applyFont="1" applyFill="1" applyBorder="1"/>
    <x:xf numFmtId="0" fontId="12" fillId="2" borderId="13" xfId="2" applyFont="1" applyFill="1" applyBorder="1"/>
    <x:xf numFmtId="3" fontId="12" fillId="2" borderId="13" xfId="2" applyNumberFormat="1" applyFont="1" applyFill="1" applyBorder="1"/>
    <x:xf numFmtId="0" fontId="13" fillId="2" borderId="5" xfId="2" applyFont="1" applyFill="1" applyBorder="1" applyAlignment="1">
      <x:alignment vertical="center"/>
    </x:xf>
    <x:xf numFmtId="0" fontId="12" fillId="2" borderId="5" xfId="2" applyFont="1" applyFill="1" applyBorder="1" applyAlignment="1">
      <x:alignment vertical="center"/>
    </x:xf>
    <x:xf numFmtId="0" fontId="12" fillId="3" borderId="14" xfId="2" applyFont="1" applyFill="1" applyBorder="1"/>
    <x:xf numFmtId="0" fontId="12" fillId="3" borderId="12" xfId="2" applyFont="1" applyFill="1" applyBorder="1"/>
    <x:xf numFmtId="165" fontId="13" fillId="3" borderId="13" xfId="2" applyNumberFormat="1" applyFont="1" applyFill="1" applyBorder="1" applyAlignment="1">
      <x:alignment horizontal="center"/>
    </x:xf>
    <x:xf numFmtId="0" fontId="13" fillId="3" borderId="13" xfId="0" applyFont="1" applyFill="1" applyBorder="1" applyAlignment="1">
      <x:alignment horizontal="left" vertical="center" wrapText="1"/>
    </x:xf>
    <x:xf numFmtId="0" fontId="13" fillId="3" borderId="13" xfId="0" applyFont="1" applyFill="1" applyBorder="1" applyAlignment="1">
      <x:alignment horizontal="left" wrapText="1"/>
    </x:xf>
    <x:xf numFmtId="0" fontId="13" fillId="3" borderId="13" xfId="0" applyFont="1" applyFill="1" applyBorder="1" applyAlignment="1">
      <x:alignment wrapText="1"/>
    </x:xf>
    <x:xf numFmtId="0" fontId="12" fillId="3" borderId="13" xfId="2" applyFont="1" applyFill="1" applyBorder="1" applyAlignment="1">
      <x:alignment vertical="center"/>
    </x:xf>
    <x:xf numFmtId="0" fontId="13" fillId="3" borderId="13" xfId="2" applyFont="1" applyFill="1" applyBorder="1"/>
    <x:xf numFmtId="0" fontId="12" fillId="3" borderId="16" xfId="2" applyFont="1" applyFill="1" applyBorder="1"/>
    <x:xf numFmtId="165" fontId="13" fillId="3" borderId="10" xfId="2" applyNumberFormat="1" applyFont="1" applyFill="1" applyBorder="1" applyAlignment="1">
      <x:alignment horizontal="center"/>
    </x:xf>
    <x:xf numFmtId="0" fontId="12" fillId="2" borderId="8" xfId="2" applyFont="1" applyFill="1" applyBorder="1"/>
    <x:xf numFmtId="168" fontId="28" fillId="3" borderId="0" xfId="0" applyNumberFormat="1" applyFont="1" applyFill="1" applyBorder="1" applyAlignment="1">
      <x:alignment horizontal="right"/>
    </x:xf>
    <x:xf numFmtId="0" fontId="26" fillId="3" borderId="18" xfId="2" applyFont="1" applyFill="1" applyBorder="1" applyAlignment="1">
      <x:alignment horizontal="left" vertical="center"/>
    </x:xf>
    <x:xf numFmtId="0" fontId="26" fillId="3" borderId="19" xfId="2" applyFont="1" applyFill="1" applyBorder="1" applyAlignment="1">
      <x:alignment horizontal="left" vertical="center"/>
    </x:xf>
    <x:xf numFmtId="0" fontId="12" fillId="2" borderId="20" xfId="2" applyFont="1" applyFill="1" applyBorder="1"/>
    <x:xf numFmtId="0" fontId="23" fillId="3" borderId="20" xfId="2" applyFont="1" applyFill="1" applyBorder="1"/>
    <x:xf numFmtId="0" fontId="24" fillId="3" borderId="20" xfId="2" applyFont="1" applyFill="1" applyBorder="1"/>
    <x:xf numFmtId="0" fontId="12" fillId="3" borderId="20" xfId="2" applyFont="1" applyFill="1" applyBorder="1"/>
    <x:xf numFmtId="0" fontId="12" fillId="3" borderId="17" xfId="2" applyFont="1" applyFill="1" applyBorder="1"/>
    <x:xf numFmtId="0" fontId="30" fillId="3" borderId="20" xfId="2" applyFont="1" applyFill="1" applyBorder="1"/>
    <x:xf numFmtId="0" fontId="12" fillId="3" borderId="21" xfId="2" applyFont="1" applyFill="1" applyBorder="1"/>
    <x:xf numFmtId="0" fontId="12" fillId="6" borderId="13" xfId="2" applyFont="1" applyFill="1" applyBorder="1"/>
    <x:xf numFmtId="0" fontId="12" fillId="6" borderId="5" xfId="2" applyFont="1" applyFill="1" applyBorder="1"/>
    <x:xf numFmtId="0" fontId="12" fillId="3" borderId="5" xfId="2" applyFont="1" applyFill="1" applyBorder="1"/>
    <x:xf numFmtId="0" fontId="13" fillId="3" borderId="5" xfId="2" applyFont="1" applyFill="1" applyBorder="1" applyAlignment="1">
      <x:alignment horizontal="right"/>
    </x:xf>
    <x:xf numFmtId="0" fontId="12" fillId="3" borderId="5" xfId="4" applyNumberFormat="1" applyFont="1" applyFill="1" applyBorder="1" applyAlignment="1">
      <x:alignment horizontal="left" vertical="center" wrapText="1"/>
    </x:xf>
    <x:xf numFmtId="0" fontId="12" fillId="2" borderId="5" xfId="2" applyFont="1" applyFill="1" applyBorder="1"/>
    <x:xf numFmtId="0" fontId="12" fillId="3" borderId="5" xfId="4" applyNumberFormat="1" applyFont="1" applyFill="1" applyBorder="1" applyAlignment="1">
      <x:alignment horizontal="left" vertical="center" wrapText="1"/>
    </x:xf>
    <x:xf numFmtId="0" fontId="13" fillId="3" borderId="5" xfId="5" applyFont="1" applyFill="1" applyBorder="1" applyAlignment="1">
      <x:alignment horizontal="right" vertical="center"/>
    </x:xf>
    <x:xf numFmtId="0" fontId="12" fillId="3" borderId="13" xfId="2" applyFont="1" applyFill="1" applyBorder="1"/>
    <x:xf numFmtId="0" fontId="26" fillId="3" borderId="19" xfId="2" applyFont="1" applyFill="1" applyBorder="1" applyAlignment="1">
      <x:alignment horizontal="center" vertical="center"/>
    </x:xf>
    <x:xf numFmtId="0" fontId="30" fillId="3" borderId="8" xfId="2" applyFont="1" applyFill="1" applyBorder="1"/>
    <x:xf numFmtId="0" fontId="13" fillId="2" borderId="8" xfId="2" applyFont="1" applyFill="1" applyBorder="1" applyAlignment="1">
      <x:alignment vertical="center"/>
    </x:xf>
    <x:xf numFmtId="0" fontId="12" fillId="3" borderId="22" xfId="2" applyFont="1" applyFill="1" applyBorder="1"/>
    <x:xf numFmtId="165" fontId="13" fillId="3" borderId="15" xfId="2" applyNumberFormat="1" applyFont="1" applyFill="1" applyBorder="1" applyAlignment="1">
      <x:alignment horizontal="center"/>
    </x:xf>
    <x:xf numFmtId="0" fontId="13" fillId="3" borderId="13" xfId="2" applyFont="1" applyFill="1" applyBorder="1" applyAlignment="1">
      <x:alignment vertical="center"/>
    </x:xf>
    <x:xf numFmtId="0" fontId="12" fillId="3" borderId="13" xfId="0" applyFont="1" applyFill="1" applyBorder="1" applyAlignment="1">
      <x:alignment horizontal="center"/>
    </x:xf>
    <x:xf numFmtId="0" fontId="12" fillId="3" borderId="13" xfId="0" applyFont="1" applyFill="1" applyBorder="1"/>
    <x:xf numFmtId="0" fontId="12" fillId="6" borderId="8" xfId="2" applyFont="1" applyFill="1" applyBorder="1"/>
    <x:xf numFmtId="0" fontId="13" fillId="6" borderId="0" xfId="2" applyFont="1" applyFill="1" applyBorder="1" applyAlignment="1">
      <x:alignment vertical="center"/>
    </x:xf>
    <x:xf numFmtId="165" fontId="13" fillId="6" borderId="7" xfId="2" applyNumberFormat="1" applyFont="1" applyFill="1" applyBorder="1" applyAlignment="1">
      <x:alignment horizontal="center"/>
    </x:xf>
    <x:xf numFmtId="0" fontId="12" fillId="3" borderId="23" xfId="2" applyFont="1" applyFill="1" applyBorder="1"/>
    <x:xf numFmtId="0" fontId="12" fillId="2" borderId="21" xfId="2" applyFont="1" applyFill="1" applyBorder="1"/>
    <x:xf numFmtId="0" fontId="13" fillId="2" borderId="21" xfId="2" applyFont="1" applyFill="1" applyBorder="1"/>
    <x:xf numFmtId="0" fontId="12" fillId="3" borderId="24" xfId="2" applyFont="1" applyFill="1" applyBorder="1"/>
    <x:xf numFmtId="49" fontId="18" fillId="3" borderId="11" xfId="0" applyNumberFormat="1" applyFont="1" applyFill="1" applyBorder="1" applyAlignment="1"/>
    <x:xf numFmtId="49" fontId="18" fillId="3" borderId="7" xfId="0" applyNumberFormat="1" applyFont="1" applyFill="1" applyBorder="1" applyAlignment="1"/>
    <x:xf numFmtId="49" fontId="18" fillId="3" borderId="12" xfId="0" applyNumberFormat="1" applyFont="1" applyFill="1" applyBorder="1" applyAlignment="1"/>
    <x:xf numFmtId="49" fontId="18" fillId="3" borderId="0" xfId="0" applyNumberFormat="1" applyFont="1" applyFill="1" applyBorder="1" applyAlignment="1"/>
    <x:xf numFmtId="0" fontId="28" fillId="9" borderId="11" xfId="0" applyFont="1" applyFill="1" applyBorder="1" applyAlignment="1"/>
    <x:xf numFmtId="0" fontId="28" fillId="9" borderId="7" xfId="0" applyFont="1" applyFill="1" applyBorder="1" applyAlignment="1"/>
    <x:xf numFmtId="3" fontId="12" fillId="10" borderId="11" xfId="2" applyNumberFormat="1" applyFont="1" applyFill="1" applyBorder="1" applyAlignment="1"/>
    <x:xf numFmtId="3" fontId="12" fillId="10" borderId="7" xfId="2" applyNumberFormat="1" applyFont="1" applyFill="1" applyBorder="1" applyAlignment="1"/>
    <x:xf numFmtId="1" fontId="28" fillId="8" borderId="6" xfId="0" applyNumberFormat="1" applyFont="1" applyFill="1" applyBorder="1" applyAlignment="1">
      <x:alignment horizontal="center"/>
    </x:xf>
    <x:xf numFmtId="1" fontId="28" fillId="8" borderId="7" xfId="0" applyNumberFormat="1" applyFont="1" applyFill="1" applyBorder="1" applyAlignment="1">
      <x:alignment horizontal="center"/>
    </x:xf>
    <x:xf numFmtId="1" fontId="28" fillId="8" borderId="6" xfId="0" applyNumberFormat="1" applyFont="1" applyFill="1" applyBorder="1" applyAlignment="1">
      <x:alignment horizontal="right"/>
    </x:xf>
    <x:xf numFmtId="168" fontId="18" fillId="2" borderId="13" xfId="5" applyNumberFormat="1" applyFont="1" applyFill="1" applyBorder="1" applyAlignment="1">
      <x:alignment vertical="center"/>
    </x:xf>
    <x:xf numFmtId="168" fontId="18" fillId="2" borderId="6" xfId="5" applyNumberFormat="1" applyFont="1" applyFill="1" applyBorder="1" applyAlignment="1">
      <x:alignment vertical="center"/>
    </x:xf>
    <x:xf numFmtId="168" fontId="18" fillId="2" borderId="4" xfId="5" applyNumberFormat="1" applyFont="1" applyFill="1" applyBorder="1" applyAlignment="1">
      <x:alignment vertical="center"/>
    </x:xf>
    <x:xf numFmtId="168" fontId="18" fillId="0" borderId="6" xfId="5" applyNumberFormat="1" applyFont="1" applyFill="1" applyBorder="1" applyAlignment="1">
      <x:alignment vertical="center"/>
    </x:xf>
    <x:xf numFmtId="168" fontId="18" fillId="0" borderId="4" xfId="5" applyNumberFormat="1" applyFont="1" applyFill="1" applyBorder="1" applyAlignment="1">
      <x:alignment vertical="center"/>
    </x:xf>
    <x:xf numFmtId="168" fontId="18" fillId="10" borderId="6" xfId="5" applyNumberFormat="1" applyFont="1" applyFill="1" applyBorder="1" applyAlignment="1">
      <x:alignment vertical="center"/>
    </x:xf>
    <x:xf numFmtId="168" fontId="18" fillId="10" borderId="4" xfId="5" applyNumberFormat="1" applyFont="1" applyFill="1" applyBorder="1" applyAlignment="1">
      <x:alignment vertical="center"/>
    </x:xf>
    <x:xf numFmtId="0" fontId="13" fillId="7" borderId="5" xfId="2" applyFont="1" applyFill="1" applyBorder="1"/>
    <x:xf numFmtId="0" fontId="28" fillId="3" borderId="0" xfId="0" applyFont="1" applyFill="1" applyBorder="1" applyAlignment="1"/>
    <x:xf numFmtId="168" fontId="18" fillId="3" borderId="0" xfId="0" applyNumberFormat="1" applyFont="1" applyFill="1" applyBorder="1" applyAlignment="1">
      <x:alignment horizontal="right"/>
    </x:xf>
    <x:xf numFmtId="0" fontId="12" fillId="6" borderId="0" xfId="0" applyFont="1" applyFill="1" applyBorder="1"/>
    <x:xf numFmtId="0" fontId="15" fillId="3" borderId="13" xfId="2" applyFont="1" applyFill="1" applyBorder="1" applyAlignment="1">
      <x:alignment horizontal="center"/>
    </x:xf>
    <x:xf numFmtId="168" fontId="16" fillId="3" borderId="13" xfId="5" applyNumberFormat="1" applyFont="1" applyFill="1" applyBorder="1" applyAlignment="1">
      <x:alignment vertical="center"/>
    </x:xf>
    <x:xf numFmtId="168" fontId="12" fillId="3" borderId="13" xfId="5" applyNumberFormat="1" applyFont="1" applyFill="1" applyBorder="1" applyAlignment="1">
      <x:alignment vertical="center"/>
    </x:xf>
    <x:xf numFmtId="168" fontId="15" fillId="3" borderId="13" xfId="5" applyNumberFormat="1" applyFont="1" applyFill="1" applyBorder="1" applyAlignment="1">
      <x:alignment vertical="center"/>
    </x:xf>
    <x:xf numFmtId="168" fontId="13" fillId="3" borderId="13" xfId="5" applyNumberFormat="1" applyFont="1" applyFill="1" applyBorder="1" applyAlignment="1">
      <x:alignment vertical="center"/>
    </x:xf>
    <x:xf numFmtId="168" fontId="15" fillId="3" borderId="13" xfId="2" applyNumberFormat="1" applyFont="1" applyFill="1" applyBorder="1" applyAlignment="1">
      <x:alignment vertical="center"/>
    </x:xf>
    <x:xf numFmtId="168" fontId="17" fillId="3" borderId="13" xfId="2" applyNumberFormat="1" applyFont="1" applyFill="1" applyBorder="1" applyAlignment="1">
      <x:alignment vertical="center"/>
    </x:xf>
    <x:xf numFmtId="0" fontId="12" fillId="3" borderId="10" xfId="2" applyFont="1" applyFill="1" applyBorder="1"/>
    <x:xf numFmtId="0" fontId="26" fillId="6" borderId="0" xfId="2" applyFont="1" applyFill="1" applyBorder="1" applyAlignment="1">
      <x:alignment horizontal="left" vertical="center"/>
    </x:xf>
    <x:xf numFmtId="0" fontId="13" fillId="3" borderId="0" xfId="2" applyFont="1" applyFill="1" applyBorder="1" applyAlignment="1">
      <x:alignment horizontal="right" vertical="center"/>
    </x:xf>
    <x:xf numFmtId="0" fontId="22" fillId="6" borderId="0" xfId="0" applyFont="1" applyFill="1" applyBorder="1"/>
    <x:xf numFmtId="0" fontId="12" fillId="2" borderId="0" xfId="5" applyFont="1" applyFill="1"/>
    <x:xf numFmtId="0" fontId="12" fillId="2" borderId="0" xfId="5" applyFont="1" applyFill="1" applyBorder="1"/>
    <x:xf numFmtId="0" fontId="12" fillId="3" borderId="0" xfId="5" applyFont="1" applyFill="1" applyBorder="1"/>
    <x:xf numFmtId="0" fontId="13" fillId="2" borderId="0" xfId="5" applyFont="1" applyFill="1" applyBorder="1"/>
    <x:xf numFmtId="0" fontId="13" fillId="2" borderId="0" xfId="5" applyFont="1" applyFill="1" applyBorder="1" applyAlignment="1">
      <x:alignment horizontal="left"/>
    </x:xf>
    <x:xf numFmtId="169" fontId="12" fillId="2" borderId="0" xfId="5" applyNumberFormat="1" applyFont="1" applyFill="1" applyBorder="1"/>
    <x:xf numFmtId="0" fontId="12" fillId="2" borderId="0" xfId="5" applyFont="1" applyFill="1" applyBorder="1" applyAlignment="1">
      <x:alignment horizontal="right"/>
    </x:xf>
    <x:xf numFmtId="1" fontId="28" fillId="8" borderId="15" xfId="0" applyNumberFormat="1" applyFont="1" applyFill="1" applyBorder="1" applyAlignment="1">
      <x:alignment horizontal="center"/>
    </x:xf>
    <x:xf numFmtId="168" fontId="32" fillId="2" borderId="4" xfId="5" applyNumberFormat="1" applyFont="1" applyFill="1" applyBorder="1"/>
    <x:xf numFmtId="168" fontId="32" fillId="9" borderId="4" xfId="5" applyNumberFormat="1" applyFont="1" applyFill="1" applyBorder="1"/>
    <x:xf numFmtId="168" fontId="32" fillId="10" borderId="4" xfId="5" applyNumberFormat="1" applyFont="1" applyFill="1" applyBorder="1"/>
    <x:xf numFmtId="0" fontId="12" fillId="6" borderId="0" xfId="5" applyFont="1" applyFill="1"/>
    <x:xf numFmtId="0" fontId="12" fillId="6" borderId="0" xfId="5" applyFont="1" applyFill="1" applyBorder="1"/>
    <x:xf numFmtId="0" fontId="13" fillId="6" borderId="0" xfId="5" applyFont="1" applyFill="1" applyBorder="1" applyAlignment="1">
      <x:alignment horizontal="right" vertical="center"/>
    </x:xf>
    <x:xf numFmtId="0" fontId="12" fillId="6" borderId="0" xfId="4" applyNumberFormat="1" applyFont="1" applyFill="1" applyBorder="1" applyAlignment="1">
      <x:alignment horizontal="left" vertical="center" wrapText="1"/>
    </x:xf>
    <x:xf numFmtId="0" fontId="1" fillId="2" borderId="0" xfId="5" applyFont="1" applyFill="1"/>
    <x:xf numFmtId="168" fontId="28" fillId="9" borderId="4" xfId="5" applyNumberFormat="1" applyFont="1" applyFill="1" applyBorder="1"/>
    <x:xf numFmtId="168" fontId="18" fillId="2" borderId="4" xfId="5" applyNumberFormat="1" applyFont="1" applyFill="1" applyBorder="1"/>
    <x:xf numFmtId="168" fontId="28" fillId="2" borderId="4" xfId="5" applyNumberFormat="1" applyFont="1" applyFill="1" applyBorder="1"/>
    <x:xf numFmtId="0" fontId="1" fillId="7" borderId="0" xfId="5" applyFont="1" applyFill="1" applyBorder="1"/>
    <x:xf numFmtId="0" fontId="1" fillId="8" borderId="0" xfId="5" applyFont="1" applyFill="1" applyBorder="1"/>
    <x:xf numFmtId="0" fontId="5" fillId="8" borderId="0" xfId="5" applyFont="1" applyFill="1" applyBorder="1" applyAlignment="1">
      <x:alignment horizontal="left"/>
    </x:xf>
    <x:xf numFmtId="168" fontId="5" fillId="8" borderId="0" xfId="5" applyNumberFormat="1" applyFont="1" applyFill="1" applyBorder="1"/>
    <x:xf numFmtId="0" fontId="1" fillId="6" borderId="0" xfId="5" applyFont="1" applyFill="1"/>
    <x:xf numFmtId="0" fontId="12" fillId="3" borderId="8" xfId="5" applyFont="1" applyFill="1" applyBorder="1"/>
    <x:xf numFmtId="0" fontId="13" fillId="3" borderId="8" xfId="5" applyFont="1" applyFill="1" applyBorder="1" applyAlignment="1">
      <x:alignment horizontal="right" vertical="center"/>
    </x:xf>
    <x:xf numFmtId="0" fontId="12" fillId="3" borderId="8" xfId="4" applyNumberFormat="1" applyFont="1" applyFill="1" applyBorder="1" applyAlignment="1">
      <x:alignment horizontal="left" vertical="center" wrapText="1"/>
    </x:xf>
    <x:xf numFmtId="0" fontId="1" fillId="2" borderId="12" xfId="5" applyFont="1" applyFill="1" applyBorder="1"/>
    <x:xf numFmtId="0" fontId="1" fillId="2" borderId="13" xfId="5" applyFont="1" applyFill="1" applyBorder="1"/>
    <x:xf numFmtId="0" fontId="1" fillId="3" borderId="13" xfId="5" applyFont="1" applyFill="1" applyBorder="1"/>
    <x:xf numFmtId="0" fontId="26" fillId="3" borderId="0" xfId="2" applyFont="1" applyFill="1" applyBorder="1" applyAlignment="1">
      <x:alignment horizontal="left" vertical="center"/>
    </x:xf>
    <x:xf numFmtId="0" fontId="12" fillId="7" borderId="0" xfId="5" applyFont="1" applyFill="1" applyBorder="1"/>
    <x:xf numFmtId="0" fontId="12" fillId="7" borderId="0" xfId="2" applyFont="1" applyFill="1" applyBorder="1"/>
    <x:xf numFmtId="0" fontId="12" fillId="8" borderId="0" xfId="2" applyFont="1" applyFill="1" applyBorder="1"/>
    <x:xf numFmtId="0" fontId="12" fillId="8" borderId="0" xfId="2" applyFont="1" applyFill="1" applyBorder="1" applyAlignment="1">
      <x:alignment horizontal="left" vertical="center"/>
    </x:xf>
    <x:xf numFmtId="0" fontId="28" fillId="8" borderId="0" xfId="0" applyFont="1" applyFill="1" applyBorder="1" applyAlignment="1"/>
    <x:xf numFmtId="168" fontId="28" fillId="8" borderId="0" xfId="0" applyNumberFormat="1" applyFont="1" applyFill="1" applyBorder="1" applyAlignment="1">
      <x:alignment horizontal="right"/>
    </x:xf>
    <x:xf numFmtId="168" fontId="18" fillId="8" borderId="0" xfId="0" applyNumberFormat="1" applyFont="1" applyFill="1" applyBorder="1" applyAlignment="1">
      <x:alignment horizontal="right"/>
    </x:xf>
    <x:xf numFmtId="0" fontId="12" fillId="3" borderId="0" xfId="0" applyFont="1" applyFill="1" applyBorder="1"/>
    <x:xf numFmtId="0" fontId="12" fillId="2" borderId="8" xfId="5" applyFont="1" applyFill="1" applyBorder="1"/>
    <x:xf numFmtId="0" fontId="12" fillId="2" borderId="15" xfId="5" applyFont="1" applyFill="1" applyBorder="1"/>
    <x:xf numFmtId="0" fontId="12" fillId="3" borderId="12" xfId="5" applyFont="1" applyFill="1" applyBorder="1"/>
    <x:xf numFmtId="0" fontId="12" fillId="2" borderId="13" xfId="5" applyFont="1" applyFill="1" applyBorder="1"/>
    <x:xf numFmtId="168" fontId="18" fillId="3" borderId="13" xfId="0" applyNumberFormat="1" applyFont="1" applyFill="1" applyBorder="1" applyAlignment="1">
      <x:alignment horizontal="right"/>
    </x:xf>
    <x:xf numFmtId="168" fontId="18" fillId="9" borderId="4" xfId="5" applyNumberFormat="1" applyFont="1" applyFill="1" applyBorder="1"/>
    <x:xf numFmtId="168" fontId="18" fillId="10" borderId="4" xfId="5" applyNumberFormat="1" applyFont="1" applyFill="1" applyBorder="1"/>
    <x:xf numFmtId="0" fontId="12" fillId="2" borderId="5" xfId="5" applyFont="1" applyFill="1" applyBorder="1"/>
    <x:xf numFmtId="0" fontId="13" fillId="2" borderId="5" xfId="5" applyFont="1" applyFill="1" applyBorder="1"/>
    <x:xf numFmtId="0" fontId="12" fillId="2" borderId="10" xfId="5" applyFont="1" applyFill="1" applyBorder="1"/>
    <x:xf numFmtId="0" fontId="12" fillId="3" borderId="16" xfId="5" applyFont="1" applyFill="1" applyBorder="1"/>
    <x:xf numFmtId="0" fontId="1" fillId="6" borderId="0" xfId="5" applyFont="1" applyFill="1" applyBorder="1"/>
    <x:xf numFmtId="168" fontId="18" fillId="6" borderId="0" xfId="0" applyNumberFormat="1" applyFont="1" applyFill="1" applyBorder="1" applyAlignment="1">
      <x:alignment horizontal="right"/>
    </x:xf>
    <x:xf numFmtId="0" fontId="13" fillId="6" borderId="0" xfId="2" applyFont="1" applyFill="1"/>
    <x:xf numFmtId="0" fontId="13" fillId="6" borderId="0" xfId="2" applyFont="1" applyFill="1" applyBorder="1"/>
    <x:xf numFmtId="0" fontId="26" fillId="7" borderId="0" xfId="2" applyFont="1" applyFill="1" applyBorder="1" applyAlignment="1">
      <x:alignment horizontal="left" vertical="center"/>
    </x:xf>
    <x:xf numFmtId="168" fontId="18" fillId="9" borderId="4" xfId="5" applyNumberFormat="1" applyFont="1" applyFill="1" applyBorder="1" applyAlignment="1">
      <x:alignment horizontal="right"/>
    </x:xf>
    <x:xf numFmtId="0" fontId="12" fillId="2" borderId="14" xfId="5" applyFont="1" applyFill="1" applyBorder="1"/>
    <x:xf numFmtId="0" fontId="12" fillId="2" borderId="8" xfId="5" applyFont="1" applyFill="1" applyBorder="1" applyAlignment="1">
      <x:alignment horizontal="right"/>
    </x:xf>
    <x:xf numFmtId="0" fontId="12" fillId="2" borderId="12" xfId="5" applyFont="1" applyFill="1" applyBorder="1"/>
    <x:xf numFmtId="0" fontId="12" fillId="2" borderId="16" xfId="5" applyFont="1" applyFill="1" applyBorder="1"/>
    <x:xf numFmtId="0" fontId="12" fillId="6" borderId="0" xfId="5" applyFont="1" applyFill="1" applyAlignment="1">
      <x:alignment horizontal="right"/>
    </x:xf>
    <x:xf numFmtId="168" fontId="13" fillId="3" borderId="0" xfId="5" applyNumberFormat="1" applyFont="1" applyFill="1" applyBorder="1" applyAlignment="1">
      <x:alignment vertical="center"/>
    </x:xf>
    <x:xf numFmtId="10" fontId="12" fillId="3" borderId="4" xfId="5" applyNumberFormat="1" applyFont="1" applyFill="1" applyBorder="1" applyAlignment="1">
      <x:alignment horizontal="center"/>
    </x:xf>
    <x:xf numFmtId="0" fontId="26" fillId="7" borderId="5" xfId="2" applyFont="1" applyFill="1" applyBorder="1" applyAlignment="1">
      <x:alignment horizontal="left" vertical="center"/>
    </x:xf>
    <x:xf numFmtId="168" fontId="18" fillId="8" borderId="13" xfId="0" applyNumberFormat="1" applyFont="1" applyFill="1" applyBorder="1" applyAlignment="1">
      <x:alignment horizontal="right"/>
    </x:xf>
    <x:xf numFmtId="0" fontId="12" fillId="8" borderId="13" xfId="2" applyFont="1" applyFill="1" applyBorder="1"/>
    <x:xf numFmtId="0" fontId="1" fillId="7" borderId="5" xfId="5" applyFont="1" applyFill="1" applyBorder="1"/>
    <x:xf numFmtId="0" fontId="6" fillId="7" borderId="5" xfId="5" applyFont="1" applyFill="1" applyBorder="1"/>
    <x:xf numFmtId="0" fontId="6" fillId="7" borderId="5" xfId="5" applyFont="1" applyFill="1" applyBorder="1" applyAlignment="1">
      <x:alignment horizontal="left"/>
    </x:xf>
    <x:xf numFmtId="0" fontId="1" fillId="8" borderId="13" xfId="5" applyFont="1" applyFill="1" applyBorder="1"/>
    <x:xf numFmtId="168" fontId="5" fillId="8" borderId="13" xfId="5" applyNumberFormat="1" applyFont="1" applyFill="1" applyBorder="1"/>
    <x:xf numFmtId="0" fontId="12" fillId="7" borderId="8" xfId="5" applyFont="1" applyFill="1" applyBorder="1"/>
    <x:xf numFmtId="0" fontId="12" fillId="7" borderId="15" xfId="5" applyFont="1" applyFill="1" applyBorder="1"/>
    <x:xf numFmtId="0" fontId="18" fillId="8" borderId="7" xfId="0" applyFont="1" applyFill="1" applyBorder="1" applyAlignment="1">
      <x:alignment horizontal="left" wrapText="1"/>
    </x:xf>
    <x:xf numFmtId="0" fontId="35" fillId="4" borderId="0" xfId="2" applyFont="1" applyFill="1" applyAlignment="1"/>
    <x:xf numFmtId="0" fontId="17" fillId="4" borderId="0" xfId="2" applyFont="1" applyFill="1" applyAlignment="1">
      <x:alignment vertical="center"/>
    </x:xf>
    <x:xf numFmtId="0" fontId="37" fillId="4" borderId="0" xfId="2" applyFont="1" applyFill="1" applyAlignment="1">
      <x:alignment vertical="center"/>
    </x:xf>
    <x:xf numFmtId="0" fontId="37" fillId="4" borderId="0" xfId="2" applyFont="1" applyFill="1"/>
    <x:xf numFmtId="168" fontId="18" fillId="2" borderId="6" xfId="5" applyNumberFormat="1" applyFont="1" applyFill="1" applyBorder="1"/>
    <x:xf numFmtId="0" fontId="18" fillId="8" borderId="11" xfId="5" applyFont="1" applyFill="1" applyBorder="1" applyAlignment="1"/>
    <x:xf numFmtId="0" fontId="18" fillId="8" borderId="7" xfId="5" applyFont="1" applyFill="1" applyBorder="1" applyAlignment="1"/>
    <x:xf numFmtId="0" fontId="18" fillId="8" borderId="6" xfId="5" applyFont="1" applyFill="1" applyBorder="1" applyAlignment="1"/>
    <x:xf numFmtId="1" fontId="20" fillId="8" borderId="6" xfId="0" applyNumberFormat="1" applyFont="1" applyFill="1" applyBorder="1" applyAlignment="1">
      <x:alignment horizontal="right"/>
    </x:xf>
    <x:xf numFmtId="0" fontId="1" fillId="5" borderId="27" xfId="0" applyFont="1" applyFill="1" applyBorder="1" applyAlignment="1">
      <x:alignment wrapText="1"/>
    </x:xf>
    <x:xf numFmtId="0" fontId="26" fillId="7" borderId="28" xfId="2" applyFont="1" applyFill="1" applyBorder="1" applyAlignment="1">
      <x:alignment horizontal="left" vertical="center"/>
    </x:xf>
    <x:xf numFmtId="0" fontId="26" fillId="7" borderId="29" xfId="2" applyFont="1" applyFill="1" applyBorder="1" applyAlignment="1">
      <x:alignment horizontal="right" vertical="center"/>
    </x:xf>
    <x:xf numFmtId="0" fontId="26" fillId="7" borderId="30" xfId="2" applyFont="1" applyFill="1" applyBorder="1" applyAlignment="1">
      <x:alignment horizontal="left" vertical="center"/>
    </x:xf>
    <x:xf numFmtId="0" fontId="26" fillId="7" borderId="31" xfId="2" applyFont="1" applyFill="1" applyBorder="1" applyAlignment="1">
      <x:alignment horizontal="right" vertical="center"/>
    </x:xf>
    <x:xf numFmtId="1" fontId="28" fillId="8" borderId="30" xfId="0" applyNumberFormat="1" applyFont="1" applyFill="1" applyBorder="1" applyAlignment="1">
      <x:alignment horizontal="left"/>
    </x:xf>
    <x:xf numFmtId="1" fontId="28" fillId="8" borderId="31" xfId="0" applyNumberFormat="1" applyFont="1" applyFill="1" applyBorder="1" applyAlignment="1">
      <x:alignment horizontal="left"/>
    </x:xf>
    <x:xf numFmtId="0" fontId="38" fillId="0" borderId="0" xfId="0" applyFont="1" applyAlignment="1">
      <x:alignment horizontal="left" vertical="top"/>
    </x:xf>
    <x:xf numFmtId="0" fontId="39" fillId="0" borderId="0" xfId="0" applyFont="1" applyAlignment="1">
      <x:alignment horizontal="right" vertical="top"/>
    </x:xf>
    <x:xf numFmtId="168" fontId="12" fillId="7" borderId="4" xfId="0" applyNumberFormat="1" applyFont="1" applyFill="1" applyBorder="1" applyAlignment="1">
      <x:alignment horizontal="right"/>
    </x:xf>
    <x:xf numFmtId="168" fontId="12" fillId="7" borderId="6" xfId="0" applyNumberFormat="1" applyFont="1" applyFill="1" applyBorder="1" applyAlignment="1">
      <x:alignment horizontal="right"/>
    </x:xf>
    <x:xf numFmtId="168" fontId="20" fillId="3" borderId="19" xfId="0" applyNumberFormat="1" applyFont="1" applyFill="1" applyBorder="1" applyAlignment="1">
      <x:alignment horizontal="right"/>
    </x:xf>
    <x:xf numFmtId="168" fontId="28" fillId="9" borderId="6" xfId="0" applyNumberFormat="1" applyFont="1" applyFill="1" applyBorder="1" applyAlignment="1">
      <x:alignment horizontal="right"/>
    </x:xf>
    <x:xf numFmtId="168" fontId="18" fillId="9" borderId="6" xfId="0" applyNumberFormat="1" applyFont="1" applyFill="1" applyBorder="1" applyAlignment="1">
      <x:alignment horizontal="right"/>
    </x:xf>
    <x:xf numFmtId="168" fontId="18" fillId="9" borderId="4" xfId="0" applyNumberFormat="1" applyFont="1" applyFill="1" applyBorder="1" applyAlignment="1">
      <x:alignment horizontal="right"/>
    </x:xf>
    <x:xf numFmtId="0" fontId="5" fillId="5" borderId="2" xfId="5" applyFont="1" applyFill="1" applyBorder="1" applyAlignment="1">
      <x:alignment horizontal="left"/>
    </x:xf>
    <x:xf numFmtId="3" fontId="0" fillId="5" borderId="2" xfId="0" applyNumberFormat="1" applyFill="1" applyBorder="1"/>
    <x:xf numFmtId="0" fontId="1" fillId="5" borderId="2" xfId="5" applyFont="1" applyFill="1" applyBorder="1" applyAlignment="1">
      <x:alignment horizontal="left"/>
    </x:xf>
    <x:xf numFmtId="0" fontId="22" fillId="6" borderId="0" xfId="0" applyNumberFormat="1" applyFont="1" applyFill="1" applyBorder="1" applyAlignment="1">
      <x:alignment horizontal="left"/>
    </x:xf>
    <x:xf numFmtId="168" fontId="20" fillId="7" borderId="0" xfId="0" applyNumberFormat="1" applyFont="1" applyFill="1" applyBorder="1" applyAlignment="1">
      <x:alignment horizontal="right"/>
    </x:xf>
    <x:xf numFmtId="168" fontId="20" fillId="7" borderId="5" xfId="0" applyNumberFormat="1" applyFont="1" applyFill="1" applyBorder="1" applyAlignment="1">
      <x:alignment horizontal="right"/>
    </x:xf>
    <x:xf numFmtId="2" fontId="0" fillId="3" borderId="2" xfId="0" applyNumberFormat="1" applyFill="1" applyBorder="1" applyAlignment="1">
      <x:alignment horizontal="right"/>
    </x:xf>
    <x:xf numFmtId="4" fontId="18" fillId="9" borderId="4" xfId="5" applyNumberFormat="1" applyFont="1" applyFill="1" applyBorder="1" applyAlignment="1">
      <x:alignment horizontal="right"/>
    </x:xf>
    <x:xf numFmtId="168" fontId="20" fillId="3" borderId="0" xfId="0" applyNumberFormat="1" applyFont="1" applyFill="1" applyBorder="1" applyAlignment="1">
      <x:alignment horizontal="right"/>
    </x:xf>
    <x:xf numFmtId="0" fontId="26" fillId="3" borderId="34" xfId="2" applyFont="1" applyFill="1" applyBorder="1" applyAlignment="1">
      <x:alignment horizontal="left" vertical="center"/>
    </x:xf>
    <x:xf numFmtId="0" fontId="1" fillId="2" borderId="0" xfId="2" applyFont="1" applyFill="1"/>
    <x:xf numFmtId="4" fontId="12" fillId="2" borderId="0" xfId="2" applyNumberFormat="1" applyFont="1" applyFill="1" applyBorder="1"/>
    <x:xf numFmtId="4" fontId="12" fillId="2" borderId="0" xfId="2" applyNumberFormat="1" applyFont="1" applyFill="1" applyBorder="1" applyAlignment="1">
      <x:alignment horizontal="right"/>
    </x:xf>
    <x:xf numFmtId="0" fontId="1" fillId="0" borderId="0" xfId="2" applyFont="1" applyFill="1"/>
    <x:xf numFmtId="3" fontId="20" fillId="2" borderId="0" xfId="2" applyNumberFormat="1" applyFont="1" applyFill="1" applyBorder="1"/>
    <x:xf numFmtId="3" fontId="20" fillId="2" borderId="0" xfId="2" applyNumberFormat="1" applyFont="1" applyFill="1" applyBorder="1" applyAlignment="1">
      <x:alignment horizontal="right"/>
    </x:xf>
    <x:xf numFmtId="1" fontId="12" fillId="2" borderId="0" xfId="2" applyNumberFormat="1" applyFont="1" applyFill="1"/>
    <x:xf numFmtId="0" fontId="26" fillId="3" borderId="23" xfId="2" applyFont="1" applyFill="1" applyBorder="1" applyAlignment="1">
      <x:alignment horizontal="left" vertical="center"/>
    </x:xf>
    <x:xf numFmtId="0" fontId="26" fillId="3" borderId="24" xfId="2" applyFont="1" applyFill="1" applyBorder="1" applyAlignment="1">
      <x:alignment horizontal="left" vertical="center"/>
    </x:xf>
    <x:xf numFmtId="0" fontId="12" fillId="2" borderId="19" xfId="2" applyFont="1" applyFill="1" applyBorder="1"/>
    <x:xf numFmtId="0" fontId="0" fillId="0" borderId="2" xfId="0" applyBorder="1"/>
    <x:xf numFmtId="0" fontId="4" fillId="0" borderId="0" xfId="5" applyFont="1" applyFill="1"/>
    <x:xf numFmtId="168" fontId="28" fillId="7" borderId="10" xfId="2" applyNumberFormat="1" applyFont="1" applyFill="1" applyBorder="1" applyAlignment="1"/>
    <x:xf numFmtId="168" fontId="28" fillId="7" borderId="13" xfId="2" applyNumberFormat="1" applyFont="1" applyFill="1" applyBorder="1" applyAlignment="1"/>
    <x:xf numFmtId="3" fontId="18" fillId="9" borderId="4" xfId="5" applyNumberFormat="1" applyFont="1" applyFill="1" applyBorder="1" applyAlignment="1">
      <x:alignment horizontal="right"/>
    </x:xf>
    <x:xf numFmtId="4" fontId="0" fillId="3" borderId="2" xfId="0" applyNumberFormat="1" applyFill="1" applyBorder="1" applyAlignment="1">
      <x:alignment horizontal="right"/>
    </x:xf>
    <x:xf numFmtId="0" fontId="5" fillId="3" borderId="2" xfId="9" applyFont="1" applyFill="1" applyBorder="1" applyAlignment="1">
      <x:alignment vertical="top" wrapText="1"/>
    </x:xf>
    <x:xf numFmtId="0" fontId="5" fillId="3" borderId="0" xfId="9" applyFont="1" applyFill="1" applyAlignment="1">
      <x:alignment vertical="top" wrapText="1"/>
    </x:xf>
    <x:xf numFmtId="0" fontId="1" fillId="3" borderId="2" xfId="9" applyFill="1" applyBorder="1"/>
    <x:xf numFmtId="0" fontId="1" fillId="3" borderId="0" xfId="9" applyFill="1"/>
    <x:xf numFmtId="0" fontId="7" fillId="0" borderId="0" xfId="9" applyFont="1"/>
    <x:xf numFmtId="0" fontId="1" fillId="0" borderId="0" xfId="9" applyFont="1"/>
    <x:xf numFmtId="0" fontId="40" fillId="3" borderId="0" xfId="9" applyFont="1" applyFill="1"/>
    <x:xf numFmtId="0" fontId="9" fillId="0" borderId="0" xfId="9" applyFont="1"/>
    <x:xf numFmtId="0" fontId="41" fillId="0" borderId="0" xfId="9" applyFont="1"/>
    <x:xf numFmtId="0" fontId="1" fillId="3" borderId="0" xfId="9" applyFont="1" applyFill="1"/>
    <x:xf numFmtId="4" fontId="1" fillId="0" borderId="0" xfId="9" applyNumberFormat="1" applyFont="1"/>
    <x:xf numFmtId="0" fontId="7" fillId="2" borderId="0" xfId="9" applyFont="1" applyFill="1"/>
    <x:xf numFmtId="0" fontId="1" fillId="2" borderId="0" xfId="10" applyFont="1" applyFill="1" applyBorder="1" applyAlignment="1">
      <x:alignment horizontal="left"/>
    </x:xf>
    <x:xf numFmtId="0" fontId="1" fillId="2" borderId="0" xfId="9" applyFont="1" applyFill="1"/>
    <x:xf numFmtId="164" fontId="1" fillId="0" borderId="0" xfId="9" applyNumberFormat="1" applyFont="1"/>
    <x:xf numFmtId="0" fontId="1" fillId="0" borderId="2" xfId="0" applyNumberFormat="1" applyFont="1" applyBorder="1"/>
    <x:xf numFmtId="0" fontId="1" fillId="0" borderId="2" xfId="0" applyNumberFormat="1" applyFont="1" applyFill="1" applyBorder="1" applyAlignment="1">
      <x:alignment wrapText="1"/>
    </x:xf>
    <x:xf numFmtId="0" fontId="1" fillId="0" borderId="0" xfId="5" applyFont="1" applyFill="1"/>
    <x:xf numFmtId="0" fontId="1" fillId="0" borderId="0" xfId="0" applyFont="1"/>
    <x:xf numFmtId="0" fontId="32" fillId="9" borderId="0" xfId="0" applyFont="1" applyFill="1" applyBorder="1" applyAlignment="1">
      <x:alignment horizontal="left" wrapText="1"/>
    </x:xf>
    <x:xf numFmtId="0" fontId="32" fillId="9" borderId="13" xfId="0" applyFont="1" applyFill="1" applyBorder="1" applyAlignment="1">
      <x:alignment horizontal="left" wrapText="1"/>
    </x:xf>
    <x:xf numFmtId="0" fontId="19" fillId="4" borderId="0" xfId="2" applyFont="1" applyFill="1" applyAlignment="1">
      <x:alignment horizontal="center" vertical="center"/>
    </x:xf>
    <x:xf numFmtId="0" fontId="32" fillId="9" borderId="4" xfId="0" applyFont="1" applyFill="1" applyBorder="1" applyAlignment="1">
      <x:alignment wrapText="1"/>
    </x:xf>
    <x:xf numFmtId="0" fontId="12" fillId="3" borderId="11" xfId="4" applyNumberFormat="1" applyFont="1" applyFill="1" applyBorder="1" applyAlignment="1">
      <x:alignment horizontal="left" wrapText="1"/>
    </x:xf>
    <x:xf numFmtId="0" fontId="12" fillId="3" borderId="7" xfId="4" applyNumberFormat="1" applyFont="1" applyFill="1" applyBorder="1" applyAlignment="1">
      <x:alignment horizontal="left" wrapText="1"/>
    </x:xf>
    <x:xf numFmtId="0" fontId="12" fillId="3" borderId="6" xfId="4" applyNumberFormat="1" applyFont="1" applyFill="1" applyBorder="1" applyAlignment="1">
      <x:alignment horizontal="left" wrapText="1"/>
    </x:xf>
    <x:xf numFmtId="0" fontId="12" fillId="3" borderId="11" xfId="4" applyNumberFormat="1" applyFont="1" applyFill="1" applyBorder="1" applyAlignment="1">
      <x:alignment horizontal="left" vertical="center" wrapText="1"/>
    </x:xf>
    <x:xf numFmtId="0" fontId="12" fillId="3" borderId="7" xfId="4" applyNumberFormat="1" applyFont="1" applyFill="1" applyBorder="1" applyAlignment="1">
      <x:alignment horizontal="left" vertical="center" wrapText="1"/>
    </x:xf>
    <x:xf numFmtId="0" fontId="12" fillId="3" borderId="6" xfId="4" applyNumberFormat="1" applyFont="1" applyFill="1" applyBorder="1" applyAlignment="1">
      <x:alignment horizontal="left" vertical="center" wrapText="1"/>
    </x:xf>
    <x:xf numFmtId="0" fontId="32" fillId="9" borderId="6" xfId="0" applyFont="1" applyFill="1" applyBorder="1" applyAlignment="1">
      <x:alignment wrapText="1"/>
    </x:xf>
    <x:xf numFmtId="0" fontId="28" fillId="9" borderId="4" xfId="0" applyFont="1" applyFill="1" applyBorder="1" applyAlignment="1">
      <x:alignment wrapText="1"/>
    </x:xf>
    <x:xf numFmtId="0" fontId="36" fillId="4" borderId="0" xfId="2" applyFont="1" applyFill="1" applyAlignment="1">
      <x:alignment horizontal="center" vertical="center"/>
    </x:xf>
    <x:xf numFmtId="0" fontId="34" fillId="9" borderId="25" xfId="8" applyFont="1" applyFill="1" applyBorder="1" applyAlignment="1">
      <x:alignment horizontal="center" vertical="center"/>
    </x:xf>
    <x:xf numFmtId="0" fontId="33" fillId="9" borderId="26" xfId="8" applyFill="1" applyBorder="1" applyAlignment="1">
      <x:alignment horizontal="center" vertical="center"/>
    </x:xf>
    <x:xf numFmtId="0" fontId="12" fillId="3" borderId="11" xfId="0" applyNumberFormat="1" applyFont="1" applyFill="1" applyBorder="1" applyAlignment="1">
      <x:alignment horizontal="left"/>
    </x:xf>
    <x:xf numFmtId="0" fontId="12" fillId="3" borderId="7" xfId="0" applyNumberFormat="1" applyFont="1" applyFill="1" applyBorder="1" applyAlignment="1">
      <x:alignment horizontal="left"/>
    </x:xf>
    <x:xf numFmtId="0" fontId="12" fillId="3" borderId="6" xfId="0" applyNumberFormat="1" applyFont="1" applyFill="1" applyBorder="1" applyAlignment="1">
      <x:alignment horizontal="left"/>
    </x:xf>
    <x:xf numFmtId="0" fontId="12" fillId="3" borderId="11" xfId="4" applyNumberFormat="1" applyFont="1" applyFill="1" applyBorder="1" applyAlignment="1">
      <x:alignment horizontal="left" vertical="center" wrapText="1"/>
    </x:xf>
    <x:xf numFmtId="0" fontId="12" fillId="3" borderId="7" xfId="4" applyNumberFormat="1" applyFont="1" applyFill="1" applyBorder="1" applyAlignment="1">
      <x:alignment horizontal="left" vertical="center" wrapText="1"/>
    </x:xf>
    <x:xf numFmtId="0" fontId="12" fillId="3" borderId="6" xfId="4" applyNumberFormat="1" applyFont="1" applyFill="1" applyBorder="1" applyAlignment="1">
      <x:alignment horizontal="left" vertical="center" wrapText="1"/>
    </x:xf>
    <x:xf numFmtId="14" fontId="12" fillId="3" borderId="11" xfId="4" applyNumberFormat="1" applyFont="1" applyFill="1" applyBorder="1" applyAlignment="1">
      <x:alignment horizontal="left" vertical="center" wrapText="1"/>
    </x:xf>
    <x:xf numFmtId="14" fontId="12" fillId="3" borderId="7" xfId="4" applyNumberFormat="1" applyFont="1" applyFill="1" applyBorder="1" applyAlignment="1">
      <x:alignment horizontal="left" vertical="center" wrapText="1"/>
    </x:xf>
    <x:xf numFmtId="14" fontId="12" fillId="3" borderId="6" xfId="4" applyNumberFormat="1" applyFont="1" applyFill="1" applyBorder="1" applyAlignment="1">
      <x:alignment horizontal="left" vertical="center" wrapText="1"/>
    </x:xf>
    <x:xf numFmtId="0" fontId="18" fillId="2" borderId="12" xfId="2" applyFont="1" applyFill="1" applyBorder="1" applyAlignment="1">
      <x:alignment horizontal="left" vertical="center"/>
    </x:xf>
    <x:xf numFmtId="0" fontId="18" fillId="2" borderId="0" xfId="2" applyFont="1" applyFill="1" applyBorder="1" applyAlignment="1">
      <x:alignment horizontal="left" vertical="center"/>
    </x:xf>
    <x:xf numFmtId="0" fontId="18" fillId="2" borderId="11" xfId="2" applyFont="1" applyFill="1" applyBorder="1" applyAlignment="1">
      <x:alignment horizontal="left" vertical="center"/>
    </x:xf>
    <x:xf numFmtId="0" fontId="18" fillId="2" borderId="7" xfId="2" applyFont="1" applyFill="1" applyBorder="1" applyAlignment="1">
      <x:alignment horizontal="left" vertical="center"/>
    </x:xf>
    <x:xf numFmtId="0" fontId="28" fillId="9" borderId="0" xfId="0" applyFont="1" applyFill="1" applyBorder="1" applyAlignment="1">
      <x:alignment horizontal="left" wrapText="1"/>
    </x:xf>
    <x:xf numFmtId="0" fontId="20" fillId="7" borderId="5" xfId="0" applyFont="1" applyFill="1" applyBorder="1" applyAlignment="1">
      <x:alignment horizontal="left" wrapText="1"/>
    </x:xf>
    <x:xf numFmtId="0" fontId="20" fillId="7" borderId="10" xfId="0" applyFont="1" applyFill="1" applyBorder="1" applyAlignment="1">
      <x:alignment horizontal="left" wrapText="1"/>
    </x:xf>
    <x:xf numFmtId="3" fontId="12" fillId="3" borderId="11" xfId="0" applyNumberFormat="1" applyFont="1" applyFill="1" applyBorder="1" applyAlignment="1">
      <x:alignment horizontal="left" vertical="center"/>
    </x:xf>
    <x:xf numFmtId="3" fontId="12" fillId="3" borderId="7" xfId="0" applyNumberFormat="1" applyFont="1" applyFill="1" applyBorder="1" applyAlignment="1">
      <x:alignment horizontal="left" vertical="center"/>
    </x:xf>
    <x:xf numFmtId="3" fontId="12" fillId="3" borderId="6" xfId="0" applyNumberFormat="1" applyFont="1" applyFill="1" applyBorder="1" applyAlignment="1">
      <x:alignment horizontal="left" vertical="center"/>
    </x:xf>
    <x:xf numFmtId="0" fontId="18" fillId="8" borderId="0" xfId="0" applyFont="1" applyFill="1" applyBorder="1" applyAlignment="1">
      <x:alignment horizontal="left" wrapText="1"/>
    </x:xf>
    <x:xf numFmtId="0" fontId="18" fillId="8" borderId="0" xfId="0" applyFont="1" applyFill="1" applyBorder="1" applyAlignment="1">
      <x:alignment horizontal="left" vertical="center" wrapText="1"/>
    </x:xf>
    <x:xf numFmtId="0" fontId="28" fillId="9" borderId="5" xfId="0" applyFont="1" applyFill="1" applyBorder="1" applyAlignment="1">
      <x:alignment horizontal="left" wrapText="1"/>
    </x:xf>
    <x:xf numFmtId="170" fontId="12" fillId="3" borderId="0" xfId="4" applyNumberFormat="1" applyFont="1" applyFill="1" applyBorder="1" applyAlignment="1">
      <x:alignment horizontal="left" vertical="center" wrapText="1"/>
    </x:xf>
    <x:xf numFmtId="14" fontId="12" fillId="3" borderId="0" xfId="4" applyNumberFormat="1" applyFont="1" applyFill="1" applyBorder="1" applyAlignment="1">
      <x:alignment horizontal="left" vertical="center" wrapText="1"/>
    </x:xf>
    <x:xf numFmtId="0" fontId="12" fillId="3" borderId="0" xfId="4" applyNumberFormat="1" applyFont="1" applyFill="1" applyBorder="1" applyAlignment="1">
      <x:alignment horizontal="left" vertical="center" wrapText="1"/>
    </x:xf>
    <x:xf numFmtId="0" fontId="25" fillId="4" borderId="0" xfId="2" applyFont="1" applyFill="1" applyAlignment="1">
      <x:alignment horizontal="left" vertical="top"/>
    </x:xf>
    <x:xf numFmtId="167" fontId="12" fillId="3" borderId="4" xfId="2" applyNumberFormat="1" applyFont="1" applyFill="1" applyBorder="1" applyAlignment="1">
      <x:alignment horizontal="left"/>
    </x:xf>
    <x:xf numFmtId="0" fontId="12" fillId="3" borderId="0" xfId="4" applyNumberFormat="1" applyFont="1" applyFill="1" applyBorder="1" applyAlignment="1">
      <x:alignment horizontal="left" vertical="center" wrapText="1"/>
    </x:xf>
    <x:xf numFmtId="0" fontId="4" fillId="0" borderId="32" xfId="0" applyFont="1" applyBorder="1" applyAlignment="1">
      <x:alignment horizontal="left" vertical="top" wrapText="1"/>
    </x:xf>
    <x:xf numFmtId="0" fontId="4" fillId="0" borderId="33" xfId="0" applyFont="1" applyBorder="1" applyAlignment="1">
      <x:alignment horizontal="left" vertical="top" wrapText="1"/>
    </x:xf>
    <x:xf numFmtId="0" fontId="4" fillId="0" borderId="30" xfId="0" applyFont="1" applyBorder="1" applyAlignment="1">
      <x:alignment horizontal="left" vertical="top" wrapText="1"/>
    </x:xf>
    <x:xf numFmtId="0" fontId="4" fillId="0" borderId="31" xfId="0" applyFont="1" applyBorder="1" applyAlignment="1">
      <x:alignment horizontal="left" vertical="top" wrapText="1"/>
    </x:xf>
    <x:xf numFmtId="0" fontId="1" fillId="0" borderId="30" xfId="0" applyFont="1" applyBorder="1" applyAlignment="1">
      <x:alignment horizontal="left" vertical="top" wrapText="1"/>
    </x:xf>
    <x:xf numFmtId="0" fontId="4" fillId="3" borderId="32" xfId="0" applyFont="1" applyFill="1" applyBorder="1" applyAlignment="1">
      <x:alignment horizontal="left" vertical="top" wrapText="1"/>
    </x:xf>
    <x:xf numFmtId="0" fontId="4" fillId="3" borderId="33" xfId="0" applyFont="1" applyFill="1" applyBorder="1" applyAlignment="1">
      <x:alignment horizontal="left" vertical="top" wrapText="1"/>
    </x:xf>
    <x:xf numFmtId="0" fontId="4" fillId="3" borderId="32" xfId="0" applyFont="1" applyFill="1" applyBorder="1" applyAlignment="1">
      <x:alignment horizontal="left" vertical="top"/>
    </x:xf>
    <x:xf numFmtId="0" fontId="4" fillId="3" borderId="33" xfId="0" applyFont="1" applyFill="1" applyBorder="1" applyAlignment="1">
      <x:alignment horizontal="left" vertical="top"/>
    </x:xf>
    <x:xf numFmtId="2" fontId="1" fillId="0" borderId="2" xfId="0" applyNumberFormat="1" applyFont="1" applyFill="1" applyBorder="1" applyAlignment="1">
      <x:alignment wrapText="1"/>
    </x:xf>
    <x:xf numFmtId="0" fontId="0" fillId="0" borderId="35" xfId="0" applyNumberFormat="1" applyFont="1" applyFill="1" applyBorder="1"/>
    <x:xf numFmtId="0" fontId="0" fillId="2" borderId="35" xfId="0" applyNumberFormat="1" applyFont="1" applyFill="1" applyBorder="1"/>
    <x:xf numFmtId="0" fontId="7" fillId="0" borderId="35" xfId="0" applyNumberFormat="1" applyFont="1" applyFill="1" applyBorder="1"/>
    <x:xf numFmtId="164" fontId="0" fillId="0" borderId="35" xfId="0" applyNumberFormat="1" applyFont="1" applyFill="1" applyBorder="1"/>
    <x:xf numFmtId="4" fontId="0" fillId="0" borderId="35" xfId="0" applyNumberFormat="1" applyFont="1" applyFill="1" applyBorder="1"/>
    <x:xf numFmtId="0" fontId="7" fillId="2" borderId="35" xfId="0" applyNumberFormat="1" applyFont="1" applyFill="1" applyBorder="1"/>
    <x:xf numFmtId="0" fontId="0" fillId="3" borderId="35" xfId="0" applyNumberFormat="1" applyFont="1" applyFill="1" applyBorder="1"/>
    <x:xf numFmtId="0" fontId="0" fillId="3" borderId="36" xfId="0" applyNumberFormat="1" applyFont="1" applyFill="1" applyBorder="1"/>
    <x:xf numFmtId="0" fontId="9" fillId="0" borderId="35" xfId="0" applyNumberFormat="1" applyFont="1" applyFill="1" applyBorder="1" applyAlignment="1">
      <x:alignment horizontal="left" vertical="center"/>
    </x:xf>
    <x:xf numFmtId="0" fontId="0" fillId="0" borderId="35" xfId="0" applyNumberFormat="1" applyFont="1" applyFill="1" applyBorder="1" applyAlignment="1">
      <x:alignment vertical="center"/>
    </x:xf>
    <x:xf numFmtId="0" fontId="9" fillId="0" borderId="35" xfId="0" applyNumberFormat="1" applyFont="1" applyFill="1" applyBorder="1" applyAlignment="1">
      <x:alignment vertical="center"/>
    </x:xf>
    <x:xf numFmtId="0" fontId="0" fillId="0" borderId="35" xfId="0" applyNumberFormat="1" applyFont="1" applyFill="1" applyBorder="1" applyAlignment="1">
      <x:alignment horizontal="center" vertical="top"/>
    </x:xf>
    <x:xf numFmtId="0" fontId="0" fillId="0" borderId="35" xfId="0" applyNumberFormat="1" applyFont="1" applyFill="1" applyBorder="1" applyAlignment="1">
      <x:alignment horizontal="right" vertical="top"/>
    </x:xf>
    <x:xf numFmtId="0" fontId="0" fillId="2" borderId="35" xfId="0" applyNumberFormat="1" applyFont="1" applyFill="1" applyBorder="1" applyAlignment="1">
      <x:alignment horizontal="left"/>
    </x:xf>
    <x:xf numFmtId="9" fontId="0" fillId="3" borderId="35" xfId="0" applyNumberFormat="1" applyFont="1" applyFill="1" applyBorder="1"/>
    <x:xf numFmtId="0" fontId="5" fillId="3" borderId="36" xfId="0" applyNumberFormat="1" applyFont="1" applyFill="1" applyBorder="1"/>
    <x:xf numFmtId="10" fontId="0" fillId="3" borderId="36" xfId="0" applyNumberFormat="1" applyFont="1" applyFill="1" applyBorder="1"/>
    <x:xf numFmtId="49" fontId="0" fillId="0" borderId="36" xfId="0" applyNumberFormat="1" applyFont="1" applyFill="1" applyBorder="1" applyAlignment="1">
      <x:alignment wrapText="1"/>
    </x:xf>
    <x:xf numFmtId="168" fontId="0" fillId="0" borderId="36" xfId="0" applyNumberFormat="1" applyFont="1" applyFill="1" applyBorder="1" applyAlignment="1">
      <x:alignment wrapText="1"/>
    </x:xf>
    <x:xf numFmtId="49" fontId="11" fillId="5" borderId="36" xfId="0" applyNumberFormat="1" applyFont="1" applyFill="1" applyBorder="1" applyAlignment="1">
      <x:alignment wrapText="1"/>
    </x:xf>
    <x:xf numFmtId="0" fontId="11" fillId="5" borderId="36" xfId="0" applyNumberFormat="1" applyFont="1" applyFill="1" applyBorder="1" applyAlignment="1">
      <x:alignment wrapText="1"/>
    </x:xf>
    <x:xf numFmtId="0" fontId="0" fillId="5" borderId="37" xfId="0" applyNumberFormat="1" applyFont="1" applyFill="1" applyBorder="1" applyAlignment="1">
      <x:alignment wrapText="1"/>
    </x:xf>
    <x:xf numFmtId="0" fontId="5" fillId="5" borderId="36" xfId="0" applyNumberFormat="1" applyFont="1" applyFill="1" applyBorder="1" applyAlignment="1">
      <x:alignment horizontal="right"/>
    </x:xf>
    <x:xf numFmtId="0" fontId="5" fillId="5" borderId="38" xfId="0" applyNumberFormat="1" applyFont="1" applyFill="1" applyBorder="1" applyAlignment="1">
      <x:alignment horizontal="right"/>
    </x:xf>
    <x:xf numFmtId="1" fontId="5" fillId="5" borderId="38" xfId="0" applyNumberFormat="1" applyFont="1" applyFill="1" applyBorder="1" applyAlignment="1">
      <x:alignment horizontal="center"/>
    </x:xf>
    <x:xf numFmtId="49" fontId="5" fillId="3" borderId="36" xfId="0" applyNumberFormat="1" applyFont="1" applyFill="1" applyBorder="1" applyAlignment="1">
      <x:alignment horizontal="right"/>
    </x:xf>
    <x:xf numFmtId="0" fontId="0" fillId="5" borderId="37" xfId="0" applyNumberFormat="1" applyFont="1" applyFill="1" applyBorder="1" applyAlignment="1">
      <x:alignment horizontal="left"/>
    </x:xf>
    <x:xf numFmtId="0" fontId="5" fillId="5" borderId="37" xfId="0" applyNumberFormat="1" applyFont="1" applyFill="1" applyBorder="1" applyAlignment="1">
      <x:alignment horizontal="left"/>
    </x:xf>
    <x:xf numFmtId="0" fontId="11" fillId="5" borderId="37" xfId="0" applyNumberFormat="1" applyFont="1" applyFill="1" applyBorder="1" applyAlignment="1">
      <x:alignment wrapText="1"/>
    </x:xf>
    <x:xf numFmtId="0" fontId="12" fillId="2" borderId="35" xfId="0" applyNumberFormat="1" applyFont="1" applyFill="1" applyBorder="1"/>
    <x:xf numFmtId="0" fontId="12" fillId="3" borderId="35" xfId="0" applyNumberFormat="1" applyFont="1" applyFill="1" applyBorder="1"/>
    <x:xf numFmtId="0" fontId="13" fillId="2" borderId="35" xfId="0" applyNumberFormat="1" applyFont="1" applyFill="1" applyBorder="1"/>
    <x:xf numFmtId="0" fontId="12" fillId="2" borderId="35" xfId="0" applyNumberFormat="1" applyFont="1" applyFill="1" applyBorder="1" applyAlignment="1">
      <x:alignment vertical="center"/>
    </x:xf>
    <x:xf numFmtId="0" fontId="12" fillId="2" borderId="35" xfId="0" applyNumberFormat="1" applyFont="1" applyFill="1" applyBorder="1" applyAlignment="1">
      <x:alignment horizontal="left"/>
    </x:xf>
    <x:xf numFmtId="0" fontId="13" fillId="2" borderId="35" xfId="0" applyNumberFormat="1" applyFont="1" applyFill="1" applyBorder="1" applyAlignment="1">
      <x:alignment horizontal="center"/>
    </x:xf>
    <x:xf numFmtId="165" fontId="13" fillId="2" borderId="35" xfId="0" applyNumberFormat="1" applyFont="1" applyFill="1" applyBorder="1" applyAlignment="1">
      <x:alignment horizontal="center"/>
    </x:xf>
    <x:xf numFmtId="0" fontId="13" fillId="2" borderId="35" xfId="0" applyNumberFormat="1" applyFont="1" applyFill="1" applyBorder="1" applyAlignment="1">
      <x:alignment horizontal="left"/>
    </x:xf>
    <x:xf numFmtId="166" fontId="12" fillId="2" borderId="35" xfId="0" applyNumberFormat="1" applyFont="1" applyFill="1" applyBorder="1"/>
    <x:xf numFmtId="167" fontId="12" fillId="3" borderId="35" xfId="0" applyNumberFormat="1" applyFont="1" applyFill="1" applyBorder="1" applyAlignment="1">
      <x:alignment horizontal="right"/>
    </x:xf>
    <x:xf numFmtId="166" fontId="12" fillId="3" borderId="35" xfId="0" applyNumberFormat="1" applyFont="1" applyFill="1" applyBorder="1"/>
    <x:xf numFmtId="167" fontId="12" fillId="3" borderId="35" xfId="0" applyNumberFormat="1" applyFont="1" applyFill="1" applyBorder="1" applyAlignment="1">
      <x:alignment horizontal="left"/>
    </x:xf>
    <x:xf numFmtId="3" fontId="12" fillId="2" borderId="35" xfId="0" applyNumberFormat="1" applyFont="1" applyFill="1" applyBorder="1"/>
    <x:xf numFmtId="0" fontId="12" fillId="3" borderId="35" xfId="0" applyNumberFormat="1" applyFont="1" applyFill="1" applyBorder="1" applyAlignment="1">
      <x:alignment vertical="center"/>
    </x:xf>
    <x:xf numFmtId="0" fontId="13" fillId="3" borderId="35" xfId="0" applyNumberFormat="1" applyFont="1" applyFill="1" applyBorder="1"/>
    <x:xf numFmtId="0" fontId="12" fillId="2" borderId="35" xfId="0" applyNumberFormat="1" applyFont="1" applyFill="1" applyBorder="1" applyAlignment="1">
      <x:alignment horizontal="left" wrapText="1"/>
    </x:xf>
    <x:xf numFmtId="0" fontId="12" fillId="3" borderId="35" xfId="0" applyNumberFormat="1" applyFont="1" applyFill="1" applyBorder="1" applyAlignment="1">
      <x:alignment horizontal="left" vertical="center"/>
    </x:xf>
    <x:xf numFmtId="0" fontId="12" fillId="4" borderId="35" xfId="0" applyNumberFormat="1" applyFont="1" applyFill="1" applyBorder="1"/>
    <x:xf numFmtId="0" fontId="17" fillId="4" borderId="35" xfId="0" applyNumberFormat="1" applyFont="1" applyFill="1" applyBorder="1"/>
    <x:xf numFmtId="0" fontId="12" fillId="6" borderId="35" xfId="0" applyNumberFormat="1" applyFont="1" applyFill="1" applyBorder="1"/>
    <x:xf numFmtId="0" fontId="12" fillId="6" borderId="35" xfId="0" applyNumberFormat="1" applyFont="1" applyFill="1" applyBorder="1" applyAlignment="1">
      <x:alignment vertical="center"/>
    </x:xf>
    <x:xf numFmtId="0" fontId="13" fillId="3" borderId="35" xfId="0" applyNumberFormat="1" applyFont="1" applyFill="1" applyBorder="1" applyAlignment="1">
      <x:alignment horizontal="right" vertical="center"/>
    </x:xf>
    <x:xf numFmtId="15" fontId="13" fillId="3" borderId="35" xfId="0" applyNumberFormat="1" applyFont="1" applyFill="1" applyBorder="1" applyAlignment="1">
      <x:alignment horizontal="right" vertical="center"/>
    </x:xf>
    <x:xf numFmtId="0" fontId="13" fillId="3" borderId="35" xfId="0" applyNumberFormat="1" applyFont="1" applyFill="1" applyBorder="1" applyAlignment="1">
      <x:alignment horizontal="right"/>
    </x:xf>
    <x:xf numFmtId="0" fontId="12" fillId="3" borderId="35" xfId="0" applyNumberFormat="1" applyFont="1" applyFill="1" applyBorder="1" applyAlignment="1">
      <x:alignment horizontal="left" vertical="center" wrapText="1"/>
    </x:xf>
    <x:xf numFmtId="0" fontId="26" fillId="7" borderId="35" xfId="0" applyNumberFormat="1" applyFont="1" applyFill="1" applyBorder="1" applyAlignment="1">
      <x:alignment horizontal="left"/>
    </x:xf>
    <x:xf numFmtId="0" fontId="27" fillId="7" borderId="35" xfId="0" applyNumberFormat="1" applyFont="1" applyFill="1" applyBorder="1"/>
    <x:xf numFmtId="0" fontId="27" fillId="7" borderId="35" xfId="0" applyNumberFormat="1" applyFont="1" applyFill="1" applyBorder="1" applyAlignment="1">
      <x:alignment vertical="center"/>
    </x:xf>
    <x:xf numFmtId="168" fontId="12" fillId="3" borderId="39" xfId="0" applyNumberFormat="1" applyFont="1" applyFill="1" applyBorder="1" applyAlignment="1">
      <x:alignment horizontal="right"/>
    </x:xf>
    <x:xf numFmtId="0" fontId="12" fillId="7" borderId="35" xfId="0" applyNumberFormat="1" applyFont="1" applyFill="1" applyBorder="1"/>
    <x:xf numFmtId="0" fontId="27" fillId="7" borderId="35" xfId="0" applyNumberFormat="1" applyFont="1" applyFill="1" applyBorder="1" applyAlignment="1">
      <x:alignment horizontal="left" vertical="center"/>
    </x:xf>
    <x:xf numFmtId="0" fontId="26" fillId="7" borderId="35" xfId="0" applyNumberFormat="1" applyFont="1" applyFill="1" applyBorder="1" applyAlignment="1">
      <x:alignment horizontal="left" vertical="center"/>
    </x:xf>
    <x:xf numFmtId="0" fontId="12" fillId="8" borderId="35" xfId="0" applyNumberFormat="1" applyFont="1" applyFill="1" applyBorder="1" applyAlignment="1">
      <x:alignment horizontal="left" vertical="center"/>
    </x:xf>
    <x:xf numFmtId="0" fontId="12" fillId="2" borderId="35" xfId="0" applyNumberFormat="1" applyFont="1" applyFill="1" applyBorder="1" applyAlignment="1">
      <x:alignment horizontal="left" vertical="center"/>
    </x:xf>
    <x:xf numFmtId="0" fontId="13" fillId="8" borderId="35" xfId="0" applyNumberFormat="1" applyFont="1" applyFill="1" applyBorder="1" applyAlignment="1">
      <x:alignment horizontal="left" wrapText="1"/>
    </x:xf>
    <x:xf numFmtId="0" fontId="13" fillId="7" borderId="35" xfId="0" applyNumberFormat="1" applyFont="1" applyFill="1" applyBorder="1" applyAlignment="1">
      <x:alignment horizontal="left"/>
    </x:xf>
    <x:xf numFmtId="0" fontId="28" fillId="8" borderId="40" xfId="0" applyNumberFormat="1" applyFont="1" applyFill="1" applyBorder="1" applyAlignment="1">
      <x:alignment horizontal="left" wrapText="1"/>
    </x:xf>
    <x:xf numFmtId="0" fontId="13" fillId="8" borderId="35" xfId="0" applyNumberFormat="1" applyFont="1" applyFill="1" applyBorder="1" applyAlignment="1">
      <x:alignment horizontal="left"/>
    </x:xf>
    <x:xf numFmtId="0" fontId="28" fillId="8" borderId="35" xfId="0" applyNumberFormat="1" applyFont="1" applyFill="1" applyBorder="1" applyAlignment="1">
      <x:alignment horizontal="left" wrapText="1"/>
    </x:xf>
    <x:xf numFmtId="0" fontId="13" fillId="8" borderId="41" xfId="0" applyNumberFormat="1" applyFont="1" applyFill="1" applyBorder="1" applyAlignment="1">
      <x:alignment horizontal="left" wrapText="1"/>
    </x:xf>
    <x:xf numFmtId="0" fontId="12" fillId="8" borderId="41" xfId="0" applyNumberFormat="1" applyFont="1" applyFill="1" applyBorder="1" applyAlignment="1">
      <x:alignment horizontal="center"/>
    </x:xf>
    <x:xf numFmtId="1" fontId="13" fillId="8" borderId="42" xfId="0" applyNumberFormat="1" applyFont="1" applyFill="1" applyBorder="1" applyAlignment="1">
      <x:alignment horizontal="center"/>
    </x:xf>
    <x:xf numFmtId="0" fontId="28" fillId="7" borderId="35" xfId="0" applyNumberFormat="1" applyFont="1" applyFill="1" applyBorder="1" applyAlignment="1">
      <x:alignment horizontal="left" wrapText="1"/>
    </x:xf>
    <x:xf numFmtId="0" fontId="12" fillId="7" borderId="40" xfId="0" applyNumberFormat="1" applyFont="1" applyFill="1" applyBorder="1" applyAlignment="1">
      <x:alignment horizontal="left"/>
    </x:xf>
    <x:xf numFmtId="0" fontId="13" fillId="7" borderId="40" xfId="0" applyNumberFormat="1" applyFont="1" applyFill="1" applyBorder="1" applyAlignment="1">
      <x:alignment wrapText="1"/>
    </x:xf>
    <x:xf numFmtId="49" fontId="12" fillId="7" borderId="43" xfId="0" applyNumberFormat="1" applyFont="1" applyFill="1" applyBorder="1" applyAlignment="1">
      <x:alignment horizontal="right"/>
    </x:xf>
    <x:xf numFmtId="0" fontId="20" fillId="7" borderId="40" xfId="0" applyNumberFormat="1" applyFont="1" applyFill="1" applyBorder="1" applyAlignment="1">
      <x:alignment horizontal="left"/>
    </x:xf>
    <x:xf numFmtId="167" fontId="12" fillId="3" borderId="39" xfId="0" applyNumberFormat="1" applyFont="1" applyFill="1" applyBorder="1" applyAlignment="1">
      <x:alignment horizontal="right"/>
    </x:xf>
    <x:xf numFmtId="49" fontId="18" fillId="3" borderId="39" xfId="0" applyNumberFormat="1" applyFont="1" applyFill="1" applyBorder="1" applyAlignment="1">
      <x:alignment horizontal="left"/>
    </x:xf>
    <x:xf numFmtId="0" fontId="18" fillId="8" borderId="44" xfId="0" applyNumberFormat="1" applyFont="1" applyFill="1" applyBorder="1" applyAlignment="1">
      <x:alignment wrapText="1"/>
    </x:xf>
    <x:xf numFmtId="0" fontId="18" fillId="8" borderId="39" xfId="0" applyNumberFormat="1" applyFont="1" applyFill="1" applyBorder="1" applyAlignment="1">
      <x:alignment wrapText="1"/>
    </x:xf>
    <x:xf numFmtId="0" fontId="28" fillId="8" borderId="39" xfId="0" applyNumberFormat="1" applyFont="1" applyFill="1" applyBorder="1" applyAlignment="1">
      <x:alignment horizontal="left" wrapText="1"/>
    </x:xf>
    <x:xf numFmtId="0" fontId="28" fillId="8" borderId="39" xfId="0" applyNumberFormat="1" applyFont="1" applyFill="1" applyBorder="1" applyAlignment="1">
      <x:alignment horizontal="center" wrapText="1"/>
    </x:xf>
    <x:xf numFmtId="1" fontId="28" fillId="8" borderId="39" xfId="0" applyNumberFormat="1" applyFont="1" applyFill="1" applyBorder="1" applyAlignment="1">
      <x:alignment horizontal="center"/>
    </x:xf>
    <x:xf numFmtId="0" fontId="13" fillId="7" borderId="35" xfId="0" applyNumberFormat="1" applyFont="1" applyFill="1" applyBorder="1"/>
    <x:xf numFmtId="0" fontId="12" fillId="7" borderId="35" xfId="0" applyNumberFormat="1" applyFont="1" applyFill="1" applyBorder="1" applyAlignment="1">
      <x:alignment horizontal="center" vertical="center"/>
    </x:xf>
    <x:xf numFmtId="3" fontId="12" fillId="10" borderId="35" xfId="0" applyNumberFormat="1" applyFont="1" applyFill="1" applyBorder="1"/>
    <x:xf numFmtId="1" fontId="28" fillId="8" borderId="45" xfId="0" applyNumberFormat="1" applyFont="1" applyFill="1" applyBorder="1" applyAlignment="1">
      <x:alignment horizontal="center"/>
    </x:xf>
    <x:xf numFmtId="0" fontId="12" fillId="8" borderId="46" xfId="0" applyNumberFormat="1" applyFont="1" applyFill="1" applyBorder="1" applyAlignment="1">
      <x:alignment horizontal="left" vertical="center"/>
    </x:xf>
    <x:xf numFmtId="0" fontId="13" fillId="8" borderId="46" xfId="0" applyNumberFormat="1" applyFont="1" applyFill="1" applyBorder="1" applyAlignment="1">
      <x:alignment horizontal="left" wrapText="1"/>
    </x:xf>
    <x:xf numFmtId="0" fontId="13" fillId="8" borderId="46" xfId="0" applyNumberFormat="1" applyFont="1" applyFill="1" applyBorder="1" applyAlignment="1">
      <x:alignment horizontal="left"/>
    </x:xf>
    <x:xf numFmtId="3" fontId="12" fillId="10" borderId="46" xfId="0" applyNumberFormat="1" applyFont="1" applyFill="1" applyBorder="1"/>
    <x:xf numFmtId="0" fontId="23" fillId="3" borderId="41" xfId="0" applyNumberFormat="1" applyFont="1" applyFill="1" applyBorder="1"/>
    <x:xf numFmtId="0" fontId="12" fillId="3" borderId="41" xfId="0" applyNumberFormat="1" applyFont="1" applyFill="1" applyBorder="1"/>
    <x:xf numFmtId="0" fontId="12" fillId="3" borderId="41" xfId="0" applyNumberFormat="1" applyFont="1" applyFill="1" applyBorder="1" applyAlignment="1">
      <x:alignment vertical="center"/>
    </x:xf>
    <x:xf numFmtId="0" fontId="12" fillId="3" borderId="47" xfId="0" applyNumberFormat="1" applyFont="1" applyFill="1" applyBorder="1"/>
    <x:xf numFmtId="0" fontId="13" fillId="2" borderId="46" xfId="0" applyNumberFormat="1" applyFont="1" applyFill="1" applyBorder="1" applyAlignment="1">
      <x:alignment horizontal="center"/>
    </x:xf>
    <x:xf numFmtId="0" fontId="12" fillId="2" borderId="48" xfId="0" applyNumberFormat="1" applyFont="1" applyFill="1" applyBorder="1"/>
    <x:xf numFmtId="0" fontId="12" fillId="2" borderId="46" xfId="0" applyNumberFormat="1" applyFont="1" applyFill="1" applyBorder="1"/>
    <x:xf numFmtId="3" fontId="12" fillId="2" borderId="46" xfId="0" applyNumberFormat="1" applyFont="1" applyFill="1" applyBorder="1"/>
    <x:xf numFmtId="0" fontId="13" fillId="2" borderId="40" xfId="0" applyNumberFormat="1" applyFont="1" applyFill="1" applyBorder="1" applyAlignment="1">
      <x:alignment vertical="center"/>
    </x:xf>
    <x:xf numFmtId="0" fontId="12" fillId="2" borderId="40" xfId="0" applyNumberFormat="1" applyFont="1" applyFill="1" applyBorder="1" applyAlignment="1">
      <x:alignment vertical="center"/>
    </x:xf>
    <x:xf numFmtId="0" fontId="12" fillId="3" borderId="49" xfId="0" applyNumberFormat="1" applyFont="1" applyFill="1" applyBorder="1"/>
    <x:xf numFmtId="0" fontId="12" fillId="3" borderId="48" xfId="0" applyNumberFormat="1" applyFont="1" applyFill="1" applyBorder="1"/>
    <x:xf numFmtId="165" fontId="13" fillId="3" borderId="46" xfId="0" applyNumberFormat="1" applyFont="1" applyFill="1" applyBorder="1" applyAlignment="1">
      <x:alignment horizontal="center"/>
    </x:xf>
    <x:xf numFmtId="0" fontId="13" fillId="3" borderId="46" xfId="0" applyNumberFormat="1" applyFont="1" applyFill="1" applyBorder="1" applyAlignment="1">
      <x:alignment horizontal="left" vertical="center" wrapText="1"/>
    </x:xf>
    <x:xf numFmtId="0" fontId="13" fillId="3" borderId="46" xfId="0" applyNumberFormat="1" applyFont="1" applyFill="1" applyBorder="1" applyAlignment="1">
      <x:alignment horizontal="left" wrapText="1"/>
    </x:xf>
    <x:xf numFmtId="0" fontId="13" fillId="3" borderId="46" xfId="0" applyNumberFormat="1" applyFont="1" applyFill="1" applyBorder="1" applyAlignment="1">
      <x:alignment wrapText="1"/>
    </x:xf>
    <x:xf numFmtId="0" fontId="12" fillId="3" borderId="46" xfId="0" applyNumberFormat="1" applyFont="1" applyFill="1" applyBorder="1" applyAlignment="1">
      <x:alignment vertical="center"/>
    </x:xf>
    <x:xf numFmtId="0" fontId="13" fillId="3" borderId="46" xfId="0" applyNumberFormat="1" applyFont="1" applyFill="1" applyBorder="1"/>
    <x:xf numFmtId="0" fontId="12" fillId="3" borderId="50" xfId="0" applyNumberFormat="1" applyFont="1" applyFill="1" applyBorder="1"/>
    <x:xf numFmtId="165" fontId="13" fillId="3" borderId="43" xfId="0" applyNumberFormat="1" applyFont="1" applyFill="1" applyBorder="1" applyAlignment="1">
      <x:alignment horizontal="center"/>
    </x:xf>
    <x:xf numFmtId="0" fontId="12" fillId="2" borderId="41" xfId="0" applyNumberFormat="1" applyFont="1" applyFill="1" applyBorder="1"/>
    <x:xf numFmtId="168" fontId="28" fillId="3" borderId="35" xfId="0" applyNumberFormat="1" applyFont="1" applyFill="1" applyBorder="1" applyAlignment="1">
      <x:alignment horizontal="right"/>
    </x:xf>
    <x:xf numFmtId="0" fontId="26" fillId="3" borderId="51" xfId="0" applyNumberFormat="1" applyFont="1" applyFill="1" applyBorder="1" applyAlignment="1">
      <x:alignment horizontal="left" vertical="center"/>
    </x:xf>
    <x:xf numFmtId="0" fontId="26" fillId="3" borderId="52" xfId="0" applyNumberFormat="1" applyFont="1" applyFill="1" applyBorder="1" applyAlignment="1">
      <x:alignment horizontal="left" vertical="center"/>
    </x:xf>
    <x:xf numFmtId="0" fontId="12" fillId="2" borderId="53" xfId="0" applyNumberFormat="1" applyFont="1" applyFill="1" applyBorder="1"/>
    <x:xf numFmtId="0" fontId="23" fillId="3" borderId="53" xfId="0" applyNumberFormat="1" applyFont="1" applyFill="1" applyBorder="1"/>
    <x:xf numFmtId="0" fontId="24" fillId="3" borderId="53" xfId="0" applyNumberFormat="1" applyFont="1" applyFill="1" applyBorder="1"/>
    <x:xf numFmtId="0" fontId="12" fillId="3" borderId="53" xfId="0" applyNumberFormat="1" applyFont="1" applyFill="1" applyBorder="1"/>
    <x:xf numFmtId="0" fontId="12" fillId="3" borderId="54" xfId="0" applyNumberFormat="1" applyFont="1" applyFill="1" applyBorder="1"/>
    <x:xf numFmtId="0" fontId="12" fillId="3" borderId="55" xfId="0" applyNumberFormat="1" applyFont="1" applyFill="1" applyBorder="1"/>
    <x:xf numFmtId="0" fontId="12" fillId="6" borderId="46" xfId="0" applyNumberFormat="1" applyFont="1" applyFill="1" applyBorder="1"/>
    <x:xf numFmtId="0" fontId="12" fillId="6" borderId="40" xfId="0" applyNumberFormat="1" applyFont="1" applyFill="1" applyBorder="1"/>
    <x:xf numFmtId="0" fontId="12" fillId="3" borderId="40" xfId="0" applyNumberFormat="1" applyFont="1" applyFill="1" applyBorder="1"/>
    <x:xf numFmtId="0" fontId="13" fillId="3" borderId="40" xfId="0" applyNumberFormat="1" applyFont="1" applyFill="1" applyBorder="1" applyAlignment="1">
      <x:alignment horizontal="right"/>
    </x:xf>
    <x:xf numFmtId="0" fontId="12" fillId="3" borderId="40" xfId="0" applyNumberFormat="1" applyFont="1" applyFill="1" applyBorder="1" applyAlignment="1">
      <x:alignment horizontal="left" vertical="center" wrapText="1"/>
    </x:xf>
    <x:xf numFmtId="0" fontId="12" fillId="2" borderId="40" xfId="0" applyNumberFormat="1" applyFont="1" applyFill="1" applyBorder="1"/>
    <x:xf numFmtId="0" fontId="13" fillId="3" borderId="40" xfId="0" applyNumberFormat="1" applyFont="1" applyFill="1" applyBorder="1" applyAlignment="1">
      <x:alignment horizontal="right" vertical="center"/>
    </x:xf>
    <x:xf numFmtId="0" fontId="12" fillId="3" borderId="46" xfId="0" applyNumberFormat="1" applyFont="1" applyFill="1" applyBorder="1"/>
    <x:xf numFmtId="0" fontId="26" fillId="3" borderId="52" xfId="0" applyNumberFormat="1" applyFont="1" applyFill="1" applyBorder="1" applyAlignment="1">
      <x:alignment horizontal="center" vertical="center"/>
    </x:xf>
    <x:xf numFmtId="0" fontId="13" fillId="2" borderId="41" xfId="0" applyNumberFormat="1" applyFont="1" applyFill="1" applyBorder="1" applyAlignment="1">
      <x:alignment vertical="center"/>
    </x:xf>
    <x:xf numFmtId="0" fontId="12" fillId="3" borderId="56" xfId="0" applyNumberFormat="1" applyFont="1" applyFill="1" applyBorder="1"/>
    <x:xf numFmtId="165" fontId="13" fillId="3" borderId="47" xfId="0" applyNumberFormat="1" applyFont="1" applyFill="1" applyBorder="1" applyAlignment="1">
      <x:alignment horizontal="center"/>
    </x:xf>
    <x:xf numFmtId="0" fontId="13" fillId="3" borderId="46" xfId="0" applyNumberFormat="1" applyFont="1" applyFill="1" applyBorder="1" applyAlignment="1">
      <x:alignment vertical="center"/>
    </x:xf>
    <x:xf numFmtId="0" fontId="12" fillId="3" borderId="46" xfId="0" applyNumberFormat="1" applyFont="1" applyFill="1" applyBorder="1" applyAlignment="1">
      <x:alignment horizontal="center"/>
    </x:xf>
    <x:xf numFmtId="0" fontId="12" fillId="6" borderId="41" xfId="0" applyNumberFormat="1" applyFont="1" applyFill="1" applyBorder="1"/>
    <x:xf numFmtId="0" fontId="13" fillId="6" borderId="35" xfId="0" applyNumberFormat="1" applyFont="1" applyFill="1" applyBorder="1" applyAlignment="1">
      <x:alignment vertical="center"/>
    </x:xf>
    <x:xf numFmtId="165" fontId="13" fillId="6" borderId="57" xfId="0" applyNumberFormat="1" applyFont="1" applyFill="1" applyBorder="1" applyAlignment="1">
      <x:alignment horizontal="center"/>
    </x:xf>
    <x:xf numFmtId="0" fontId="12" fillId="3" borderId="58" xfId="0" applyNumberFormat="1" applyFont="1" applyFill="1" applyBorder="1"/>
    <x:xf numFmtId="0" fontId="12" fillId="2" borderId="55" xfId="0" applyNumberFormat="1" applyFont="1" applyFill="1" applyBorder="1"/>
    <x:xf numFmtId="0" fontId="13" fillId="2" borderId="55" xfId="0" applyNumberFormat="1" applyFont="1" applyFill="1" applyBorder="1"/>
    <x:xf numFmtId="0" fontId="12" fillId="3" borderId="59" xfId="0" applyNumberFormat="1" applyFont="1" applyFill="1" applyBorder="1"/>
    <x:xf numFmtId="49" fontId="18" fillId="3" borderId="45" xfId="0" applyNumberFormat="1" applyFont="1" applyFill="1" applyBorder="1"/>
    <x:xf numFmtId="49" fontId="18" fillId="3" borderId="57" xfId="0" applyNumberFormat="1" applyFont="1" applyFill="1" applyBorder="1"/>
    <x:xf numFmtId="49" fontId="18" fillId="3" borderId="48" xfId="0" applyNumberFormat="1" applyFont="1" applyFill="1" applyBorder="1"/>
    <x:xf numFmtId="49" fontId="18" fillId="3" borderId="35" xfId="0" applyNumberFormat="1" applyFont="1" applyFill="1" applyBorder="1"/>
    <x:xf numFmtId="0" fontId="28" fillId="9" borderId="45" xfId="0" applyNumberFormat="1" applyFont="1" applyFill="1" applyBorder="1"/>
    <x:xf numFmtId="0" fontId="28" fillId="9" borderId="57" xfId="0" applyNumberFormat="1" applyFont="1" applyFill="1" applyBorder="1"/>
    <x:xf numFmtId="3" fontId="12" fillId="10" borderId="45" xfId="0" applyNumberFormat="1" applyFont="1" applyFill="1" applyBorder="1"/>
    <x:xf numFmtId="3" fontId="12" fillId="10" borderId="57" xfId="0" applyNumberFormat="1" applyFont="1" applyFill="1" applyBorder="1"/>
    <x:xf numFmtId="1" fontId="28" fillId="8" borderId="44" xfId="0" applyNumberFormat="1" applyFont="1" applyFill="1" applyBorder="1" applyAlignment="1">
      <x:alignment horizontal="center"/>
    </x:xf>
    <x:xf numFmtId="1" fontId="28" fillId="8" borderId="57" xfId="0" applyNumberFormat="1" applyFont="1" applyFill="1" applyBorder="1" applyAlignment="1">
      <x:alignment horizontal="center"/>
    </x:xf>
    <x:xf numFmtId="1" fontId="28" fillId="8" borderId="44" xfId="0" applyNumberFormat="1" applyFont="1" applyFill="1" applyBorder="1" applyAlignment="1">
      <x:alignment horizontal="right"/>
    </x:xf>
    <x:xf numFmtId="168" fontId="18" fillId="2" borderId="46" xfId="0" applyNumberFormat="1" applyFont="1" applyFill="1" applyBorder="1" applyAlignment="1">
      <x:alignment vertical="center"/>
    </x:xf>
    <x:xf numFmtId="168" fontId="18" fillId="2" borderId="44" xfId="0" applyNumberFormat="1" applyFont="1" applyFill="1" applyBorder="1" applyAlignment="1">
      <x:alignment vertical="center"/>
    </x:xf>
    <x:xf numFmtId="168" fontId="18" fillId="2" borderId="39" xfId="0" applyNumberFormat="1" applyFont="1" applyFill="1" applyBorder="1" applyAlignment="1">
      <x:alignment vertical="center"/>
    </x:xf>
    <x:xf numFmtId="168" fontId="18" fillId="0" borderId="44" xfId="0" applyNumberFormat="1" applyFont="1" applyFill="1" applyBorder="1" applyAlignment="1">
      <x:alignment vertical="center"/>
    </x:xf>
    <x:xf numFmtId="168" fontId="18" fillId="0" borderId="39" xfId="0" applyNumberFormat="1" applyFont="1" applyFill="1" applyBorder="1" applyAlignment="1">
      <x:alignment vertical="center"/>
    </x:xf>
    <x:xf numFmtId="168" fontId="18" fillId="10" borderId="44" xfId="0" applyNumberFormat="1" applyFont="1" applyFill="1" applyBorder="1" applyAlignment="1">
      <x:alignment vertical="center"/>
    </x:xf>
    <x:xf numFmtId="168" fontId="18" fillId="10" borderId="39" xfId="0" applyNumberFormat="1" applyFont="1" applyFill="1" applyBorder="1" applyAlignment="1">
      <x:alignment vertical="center"/>
    </x:xf>
    <x:xf numFmtId="0" fontId="13" fillId="7" borderId="40" xfId="0" applyNumberFormat="1" applyFont="1" applyFill="1" applyBorder="1"/>
    <x:xf numFmtId="0" fontId="28" fillId="3" borderId="35" xfId="0" applyNumberFormat="1" applyFont="1" applyFill="1" applyBorder="1"/>
    <x:xf numFmtId="168" fontId="18" fillId="3" borderId="35" xfId="0" applyNumberFormat="1" applyFont="1" applyFill="1" applyBorder="1" applyAlignment="1">
      <x:alignment horizontal="right"/>
    </x:xf>
    <x:xf numFmtId="0" fontId="15" fillId="3" borderId="46" xfId="0" applyNumberFormat="1" applyFont="1" applyFill="1" applyBorder="1" applyAlignment="1">
      <x:alignment horizontal="center"/>
    </x:xf>
    <x:xf numFmtId="168" fontId="16" fillId="3" borderId="46" xfId="0" applyNumberFormat="1" applyFont="1" applyFill="1" applyBorder="1" applyAlignment="1">
      <x:alignment vertical="center"/>
    </x:xf>
    <x:xf numFmtId="168" fontId="12" fillId="3" borderId="46" xfId="0" applyNumberFormat="1" applyFont="1" applyFill="1" applyBorder="1" applyAlignment="1">
      <x:alignment vertical="center"/>
    </x:xf>
    <x:xf numFmtId="168" fontId="15" fillId="3" borderId="46" xfId="0" applyNumberFormat="1" applyFont="1" applyFill="1" applyBorder="1" applyAlignment="1">
      <x:alignment vertical="center"/>
    </x:xf>
    <x:xf numFmtId="168" fontId="13" fillId="3" borderId="46" xfId="0" applyNumberFormat="1" applyFont="1" applyFill="1" applyBorder="1" applyAlignment="1">
      <x:alignment vertical="center"/>
    </x:xf>
    <x:xf numFmtId="168" fontId="17" fillId="3" borderId="46" xfId="0" applyNumberFormat="1" applyFont="1" applyFill="1" applyBorder="1" applyAlignment="1">
      <x:alignment vertical="center"/>
    </x:xf>
    <x:xf numFmtId="0" fontId="12" fillId="3" borderId="43" xfId="0" applyNumberFormat="1" applyFont="1" applyFill="1" applyBorder="1"/>
    <x:xf numFmtId="0" fontId="26" fillId="6" borderId="35" xfId="0" applyNumberFormat="1" applyFont="1" applyFill="1" applyBorder="1" applyAlignment="1">
      <x:alignment horizontal="left" vertical="center"/>
    </x:xf>
    <x:xf numFmtId="0" fontId="22" fillId="6" borderId="35" xfId="0" applyNumberFormat="1" applyFont="1" applyFill="1" applyBorder="1"/>
    <x:xf numFmtId="169" fontId="12" fillId="2" borderId="35" xfId="0" applyNumberFormat="1" applyFont="1" applyFill="1" applyBorder="1"/>
    <x:xf numFmtId="0" fontId="12" fillId="2" borderId="35" xfId="0" applyNumberFormat="1" applyFont="1" applyFill="1" applyBorder="1" applyAlignment="1">
      <x:alignment horizontal="right"/>
    </x:xf>
    <x:xf numFmtId="1" fontId="28" fillId="8" borderId="47" xfId="0" applyNumberFormat="1" applyFont="1" applyFill="1" applyBorder="1" applyAlignment="1">
      <x:alignment horizontal="center"/>
    </x:xf>
    <x:xf numFmtId="168" fontId="32" fillId="2" borderId="39" xfId="0" applyNumberFormat="1" applyFont="1" applyFill="1" applyBorder="1"/>
    <x:xf numFmtId="168" fontId="32" fillId="9" borderId="39" xfId="0" applyNumberFormat="1" applyFont="1" applyFill="1" applyBorder="1"/>
    <x:xf numFmtId="168" fontId="32" fillId="10" borderId="39" xfId="0" applyNumberFormat="1" applyFont="1" applyFill="1" applyBorder="1"/>
    <x:xf numFmtId="0" fontId="13" fillId="6" borderId="35" xfId="0" applyNumberFormat="1" applyFont="1" applyFill="1" applyBorder="1" applyAlignment="1">
      <x:alignment horizontal="right" vertical="center"/>
    </x:xf>
    <x:xf numFmtId="0" fontId="12" fillId="6" borderId="35" xfId="0" applyNumberFormat="1" applyFont="1" applyFill="1" applyBorder="1" applyAlignment="1">
      <x:alignment horizontal="left" vertical="center" wrapText="1"/>
    </x:xf>
    <x:xf numFmtId="168" fontId="28" fillId="9" borderId="39" xfId="0" applyNumberFormat="1" applyFont="1" applyFill="1" applyBorder="1"/>
    <x:xf numFmtId="168" fontId="18" fillId="2" borderId="39" xfId="0" applyNumberFormat="1" applyFont="1" applyFill="1" applyBorder="1"/>
    <x:xf numFmtId="168" fontId="28" fillId="2" borderId="39" xfId="0" applyNumberFormat="1" applyFont="1" applyFill="1" applyBorder="1"/>
    <x:xf numFmtId="0" fontId="0" fillId="7" borderId="35" xfId="0" applyNumberFormat="1" applyFont="1" applyFill="1" applyBorder="1"/>
    <x:xf numFmtId="0" fontId="0" fillId="8" borderId="35" xfId="0" applyNumberFormat="1" applyFont="1" applyFill="1" applyBorder="1"/>
    <x:xf numFmtId="0" fontId="5" fillId="8" borderId="35" xfId="0" applyNumberFormat="1" applyFont="1" applyFill="1" applyBorder="1" applyAlignment="1">
      <x:alignment horizontal="left"/>
    </x:xf>
    <x:xf numFmtId="168" fontId="5" fillId="8" borderId="35" xfId="0" applyNumberFormat="1" applyFont="1" applyFill="1" applyBorder="1"/>
    <x:xf numFmtId="0" fontId="0" fillId="6" borderId="35" xfId="0" applyNumberFormat="1" applyFont="1" applyFill="1" applyBorder="1"/>
    <x:xf numFmtId="0" fontId="13" fillId="3" borderId="41" xfId="0" applyNumberFormat="1" applyFont="1" applyFill="1" applyBorder="1" applyAlignment="1">
      <x:alignment horizontal="right" vertical="center"/>
    </x:xf>
    <x:xf numFmtId="0" fontId="12" fillId="3" borderId="41" xfId="0" applyNumberFormat="1" applyFont="1" applyFill="1" applyBorder="1" applyAlignment="1">
      <x:alignment horizontal="left" vertical="center" wrapText="1"/>
    </x:xf>
    <x:xf numFmtId="0" fontId="0" fillId="2" borderId="48" xfId="0" applyNumberFormat="1" applyFont="1" applyFill="1" applyBorder="1"/>
    <x:xf numFmtId="0" fontId="0" fillId="2" borderId="46" xfId="0" applyNumberFormat="1" applyFont="1" applyFill="1" applyBorder="1"/>
    <x:xf numFmtId="0" fontId="0" fillId="3" borderId="46" xfId="0" applyNumberFormat="1" applyFont="1" applyFill="1" applyBorder="1"/>
    <x:xf numFmtId="0" fontId="26" fillId="3" borderId="35" xfId="0" applyNumberFormat="1" applyFont="1" applyFill="1" applyBorder="1" applyAlignment="1">
      <x:alignment horizontal="left" vertical="center"/>
    </x:xf>
    <x:xf numFmtId="0" fontId="12" fillId="8" borderId="35" xfId="0" applyNumberFormat="1" applyFont="1" applyFill="1" applyBorder="1"/>
    <x:xf numFmtId="0" fontId="28" fillId="8" borderId="35" xfId="0" applyNumberFormat="1" applyFont="1" applyFill="1" applyBorder="1"/>
    <x:xf numFmtId="168" fontId="28" fillId="8" borderId="35" xfId="0" applyNumberFormat="1" applyFont="1" applyFill="1" applyBorder="1" applyAlignment="1">
      <x:alignment horizontal="right"/>
    </x:xf>
    <x:xf numFmtId="168" fontId="18" fillId="8" borderId="35" xfId="0" applyNumberFormat="1" applyFont="1" applyFill="1" applyBorder="1" applyAlignment="1">
      <x:alignment horizontal="right"/>
    </x:xf>
    <x:xf numFmtId="0" fontId="12" fillId="2" borderId="47" xfId="0" applyNumberFormat="1" applyFont="1" applyFill="1" applyBorder="1"/>
    <x:xf numFmtId="168" fontId="18" fillId="3" borderId="46" xfId="0" applyNumberFormat="1" applyFont="1" applyFill="1" applyBorder="1" applyAlignment="1">
      <x:alignment horizontal="right"/>
    </x:xf>
    <x:xf numFmtId="168" fontId="18" fillId="9" borderId="39" xfId="0" applyNumberFormat="1" applyFont="1" applyFill="1" applyBorder="1"/>
    <x:xf numFmtId="168" fontId="18" fillId="10" borderId="39" xfId="0" applyNumberFormat="1" applyFont="1" applyFill="1" applyBorder="1"/>
    <x:xf numFmtId="0" fontId="13" fillId="2" borderId="40" xfId="0" applyNumberFormat="1" applyFont="1" applyFill="1" applyBorder="1"/>
    <x:xf numFmtId="0" fontId="12" fillId="2" borderId="43" xfId="0" applyNumberFormat="1" applyFont="1" applyFill="1" applyBorder="1"/>
    <x:xf numFmtId="168" fontId="18" fillId="6" borderId="35" xfId="0" applyNumberFormat="1" applyFont="1" applyFill="1" applyBorder="1" applyAlignment="1">
      <x:alignment horizontal="right"/>
    </x:xf>
    <x:xf numFmtId="0" fontId="13" fillId="6" borderId="35" xfId="0" applyNumberFormat="1" applyFont="1" applyFill="1" applyBorder="1"/>
    <x:xf numFmtId="168" fontId="18" fillId="9" borderId="39" xfId="0" applyNumberFormat="1" applyFont="1" applyFill="1" applyBorder="1" applyAlignment="1">
      <x:alignment horizontal="right"/>
    </x:xf>
    <x:xf numFmtId="0" fontId="12" fillId="2" borderId="49" xfId="0" applyNumberFormat="1" applyFont="1" applyFill="1" applyBorder="1"/>
    <x:xf numFmtId="0" fontId="12" fillId="2" borderId="41" xfId="0" applyNumberFormat="1" applyFont="1" applyFill="1" applyBorder="1" applyAlignment="1">
      <x:alignment horizontal="right"/>
    </x:xf>
    <x:xf numFmtId="0" fontId="12" fillId="2" borderId="50" xfId="0" applyNumberFormat="1" applyFont="1" applyFill="1" applyBorder="1"/>
    <x:xf numFmtId="0" fontId="12" fillId="6" borderId="35" xfId="0" applyNumberFormat="1" applyFont="1" applyFill="1" applyBorder="1" applyAlignment="1">
      <x:alignment horizontal="right"/>
    </x:xf>
    <x:xf numFmtId="168" fontId="13" fillId="3" borderId="35" xfId="0" applyNumberFormat="1" applyFont="1" applyFill="1" applyBorder="1" applyAlignment="1">
      <x:alignment vertical="center"/>
    </x:xf>
    <x:xf numFmtId="10" fontId="12" fillId="3" borderId="39" xfId="0" applyNumberFormat="1" applyFont="1" applyFill="1" applyBorder="1" applyAlignment="1">
      <x:alignment horizontal="center"/>
    </x:xf>
    <x:xf numFmtId="0" fontId="26" fillId="7" borderId="40" xfId="0" applyNumberFormat="1" applyFont="1" applyFill="1" applyBorder="1" applyAlignment="1">
      <x:alignment horizontal="left" vertical="center"/>
    </x:xf>
    <x:xf numFmtId="168" fontId="18" fillId="8" borderId="46" xfId="0" applyNumberFormat="1" applyFont="1" applyFill="1" applyBorder="1" applyAlignment="1">
      <x:alignment horizontal="right"/>
    </x:xf>
    <x:xf numFmtId="0" fontId="12" fillId="8" borderId="46" xfId="0" applyNumberFormat="1" applyFont="1" applyFill="1" applyBorder="1"/>
    <x:xf numFmtId="0" fontId="0" fillId="7" borderId="40" xfId="0" applyNumberFormat="1" applyFont="1" applyFill="1" applyBorder="1"/>
    <x:xf numFmtId="0" fontId="6" fillId="7" borderId="40" xfId="0" applyNumberFormat="1" applyFont="1" applyFill="1" applyBorder="1"/>
    <x:xf numFmtId="0" fontId="6" fillId="7" borderId="40" xfId="0" applyNumberFormat="1" applyFont="1" applyFill="1" applyBorder="1" applyAlignment="1">
      <x:alignment horizontal="left"/>
    </x:xf>
    <x:xf numFmtId="0" fontId="0" fillId="8" borderId="46" xfId="0" applyNumberFormat="1" applyFont="1" applyFill="1" applyBorder="1"/>
    <x:xf numFmtId="168" fontId="5" fillId="8" borderId="46" xfId="0" applyNumberFormat="1" applyFont="1" applyFill="1" applyBorder="1"/>
    <x:xf numFmtId="0" fontId="12" fillId="7" borderId="41" xfId="0" applyNumberFormat="1" applyFont="1" applyFill="1" applyBorder="1"/>
    <x:xf numFmtId="0" fontId="12" fillId="7" borderId="47" xfId="0" applyNumberFormat="1" applyFont="1" applyFill="1" applyBorder="1"/>
    <x:xf numFmtId="0" fontId="18" fillId="8" borderId="57" xfId="0" applyNumberFormat="1" applyFont="1" applyFill="1" applyBorder="1" applyAlignment="1">
      <x:alignment horizontal="left" wrapText="1"/>
    </x:xf>
    <x:xf numFmtId="0" fontId="35" fillId="4" borderId="35" xfId="0" applyNumberFormat="1" applyFont="1" applyFill="1" applyBorder="1"/>
    <x:xf numFmtId="0" fontId="17" fillId="4" borderId="35" xfId="0" applyNumberFormat="1" applyFont="1" applyFill="1" applyBorder="1" applyAlignment="1">
      <x:alignment vertical="center"/>
    </x:xf>
    <x:xf numFmtId="0" fontId="37" fillId="4" borderId="35" xfId="0" applyNumberFormat="1" applyFont="1" applyFill="1" applyBorder="1" applyAlignment="1">
      <x:alignment vertical="center"/>
    </x:xf>
    <x:xf numFmtId="0" fontId="37" fillId="4" borderId="35" xfId="0" applyNumberFormat="1" applyFont="1" applyFill="1" applyBorder="1"/>
    <x:xf numFmtId="168" fontId="18" fillId="2" borderId="44" xfId="0" applyNumberFormat="1" applyFont="1" applyFill="1" applyBorder="1"/>
    <x:xf numFmtId="0" fontId="18" fillId="8" borderId="45" xfId="0" applyNumberFormat="1" applyFont="1" applyFill="1" applyBorder="1"/>
    <x:xf numFmtId="0" fontId="18" fillId="8" borderId="57" xfId="0" applyNumberFormat="1" applyFont="1" applyFill="1" applyBorder="1"/>
    <x:xf numFmtId="0" fontId="18" fillId="8" borderId="44" xfId="0" applyNumberFormat="1" applyFont="1" applyFill="1" applyBorder="1"/>
    <x:xf numFmtId="1" fontId="20" fillId="8" borderId="44" xfId="0" applyNumberFormat="1" applyFont="1" applyFill="1" applyBorder="1" applyAlignment="1">
      <x:alignment horizontal="right"/>
    </x:xf>
    <x:xf numFmtId="0" fontId="0" fillId="5" borderId="60" xfId="0" applyNumberFormat="1" applyFont="1" applyFill="1" applyBorder="1" applyAlignment="1">
      <x:alignment wrapText="1"/>
    </x:xf>
    <x:xf numFmtId="0" fontId="26" fillId="7" borderId="61" xfId="0" applyNumberFormat="1" applyFont="1" applyFill="1" applyBorder="1" applyAlignment="1">
      <x:alignment horizontal="left" vertical="center"/>
    </x:xf>
    <x:xf numFmtId="0" fontId="26" fillId="7" borderId="62" xfId="0" applyNumberFormat="1" applyFont="1" applyFill="1" applyBorder="1" applyAlignment="1">
      <x:alignment horizontal="right" vertical="center"/>
    </x:xf>
    <x:xf numFmtId="0" fontId="26" fillId="7" borderId="63" xfId="0" applyNumberFormat="1" applyFont="1" applyFill="1" applyBorder="1" applyAlignment="1">
      <x:alignment horizontal="left" vertical="center"/>
    </x:xf>
    <x:xf numFmtId="0" fontId="26" fillId="7" borderId="64" xfId="0" applyNumberFormat="1" applyFont="1" applyFill="1" applyBorder="1" applyAlignment="1">
      <x:alignment horizontal="right" vertical="center"/>
    </x:xf>
    <x:xf numFmtId="1" fontId="28" fillId="8" borderId="63" xfId="0" applyNumberFormat="1" applyFont="1" applyFill="1" applyBorder="1" applyAlignment="1">
      <x:alignment horizontal="left"/>
    </x:xf>
    <x:xf numFmtId="1" fontId="28" fillId="8" borderId="64" xfId="0" applyNumberFormat="1" applyFont="1" applyFill="1" applyBorder="1" applyAlignment="1">
      <x:alignment horizontal="left"/>
    </x:xf>
    <x:xf numFmtId="0" fontId="38" fillId="0" borderId="35" xfId="0" applyNumberFormat="1" applyFont="1" applyFill="1" applyBorder="1" applyAlignment="1">
      <x:alignment horizontal="left" vertical="top"/>
    </x:xf>
    <x:xf numFmtId="0" fontId="39" fillId="0" borderId="35" xfId="0" applyNumberFormat="1" applyFont="1" applyFill="1" applyBorder="1" applyAlignment="1">
      <x:alignment horizontal="right" vertical="top"/>
    </x:xf>
    <x:xf numFmtId="168" fontId="12" fillId="7" borderId="39" xfId="0" applyNumberFormat="1" applyFont="1" applyFill="1" applyBorder="1" applyAlignment="1">
      <x:alignment horizontal="right"/>
    </x:xf>
    <x:xf numFmtId="168" fontId="12" fillId="7" borderId="44" xfId="0" applyNumberFormat="1" applyFont="1" applyFill="1" applyBorder="1" applyAlignment="1">
      <x:alignment horizontal="right"/>
    </x:xf>
    <x:xf numFmtId="168" fontId="20" fillId="3" borderId="52" xfId="0" applyNumberFormat="1" applyFont="1" applyFill="1" applyBorder="1" applyAlignment="1">
      <x:alignment horizontal="right"/>
    </x:xf>
    <x:xf numFmtId="168" fontId="28" fillId="9" borderId="44" xfId="0" applyNumberFormat="1" applyFont="1" applyFill="1" applyBorder="1" applyAlignment="1">
      <x:alignment horizontal="right"/>
    </x:xf>
    <x:xf numFmtId="168" fontId="18" fillId="9" borderId="44" xfId="0" applyNumberFormat="1" applyFont="1" applyFill="1" applyBorder="1" applyAlignment="1">
      <x:alignment horizontal="right"/>
    </x:xf>
    <x:xf numFmtId="0" fontId="5" fillId="5" borderId="36" xfId="0" applyNumberFormat="1" applyFont="1" applyFill="1" applyBorder="1" applyAlignment="1">
      <x:alignment horizontal="left"/>
    </x:xf>
    <x:xf numFmtId="3" fontId="0" fillId="5" borderId="36" xfId="0" applyNumberFormat="1" applyFont="1" applyFill="1" applyBorder="1"/>
    <x:xf numFmtId="0" fontId="0" fillId="5" borderId="36" xfId="0" applyNumberFormat="1" applyFont="1" applyFill="1" applyBorder="1" applyAlignment="1">
      <x:alignment horizontal="left"/>
    </x:xf>
    <x:xf numFmtId="0" fontId="22" fillId="6" borderId="35" xfId="0" applyNumberFormat="1" applyFont="1" applyFill="1" applyBorder="1" applyAlignment="1">
      <x:alignment horizontal="left"/>
    </x:xf>
    <x:xf numFmtId="168" fontId="20" fillId="7" borderId="35" xfId="0" applyNumberFormat="1" applyFont="1" applyFill="1" applyBorder="1" applyAlignment="1">
      <x:alignment horizontal="right"/>
    </x:xf>
    <x:xf numFmtId="168" fontId="20" fillId="7" borderId="40" xfId="0" applyNumberFormat="1" applyFont="1" applyFill="1" applyBorder="1" applyAlignment="1">
      <x:alignment horizontal="right"/>
    </x:xf>
    <x:xf numFmtId="2" fontId="0" fillId="3" borderId="36" xfId="0" applyNumberFormat="1" applyFont="1" applyFill="1" applyBorder="1" applyAlignment="1">
      <x:alignment horizontal="right"/>
    </x:xf>
    <x:xf numFmtId="4" fontId="18" fillId="9" borderId="39" xfId="0" applyNumberFormat="1" applyFont="1" applyFill="1" applyBorder="1" applyAlignment="1">
      <x:alignment horizontal="right"/>
    </x:xf>
    <x:xf numFmtId="168" fontId="20" fillId="3" borderId="35" xfId="0" applyNumberFormat="1" applyFont="1" applyFill="1" applyBorder="1" applyAlignment="1">
      <x:alignment horizontal="right"/>
    </x:xf>
    <x:xf numFmtId="0" fontId="26" fillId="3" borderId="65" xfId="0" applyNumberFormat="1" applyFont="1" applyFill="1" applyBorder="1" applyAlignment="1">
      <x:alignment horizontal="left" vertical="center"/>
    </x:xf>
    <x:xf numFmtId="4" fontId="12" fillId="2" borderId="35" xfId="0" applyNumberFormat="1" applyFont="1" applyFill="1" applyBorder="1"/>
    <x:xf numFmtId="4" fontId="12" fillId="2" borderId="35" xfId="0" applyNumberFormat="1" applyFont="1" applyFill="1" applyBorder="1" applyAlignment="1">
      <x:alignment horizontal="right"/>
    </x:xf>
    <x:xf numFmtId="3" fontId="20" fillId="2" borderId="35" xfId="0" applyNumberFormat="1" applyFont="1" applyFill="1" applyBorder="1"/>
    <x:xf numFmtId="3" fontId="20" fillId="2" borderId="35" xfId="0" applyNumberFormat="1" applyFont="1" applyFill="1" applyBorder="1" applyAlignment="1">
      <x:alignment horizontal="right"/>
    </x:xf>
    <x:xf numFmtId="1" fontId="12" fillId="2" borderId="35" xfId="0" applyNumberFormat="1" applyFont="1" applyFill="1" applyBorder="1"/>
    <x:xf numFmtId="0" fontId="26" fillId="3" borderId="58" xfId="0" applyNumberFormat="1" applyFont="1" applyFill="1" applyBorder="1" applyAlignment="1">
      <x:alignment horizontal="left" vertical="center"/>
    </x:xf>
    <x:xf numFmtId="0" fontId="26" fillId="3" borderId="59" xfId="0" applyNumberFormat="1" applyFont="1" applyFill="1" applyBorder="1" applyAlignment="1">
      <x:alignment horizontal="left" vertical="center"/>
    </x:xf>
    <x:xf numFmtId="0" fontId="12" fillId="2" borderId="52" xfId="0" applyNumberFormat="1" applyFont="1" applyFill="1" applyBorder="1"/>
    <x:xf numFmtId="0" fontId="0" fillId="0" borderId="36" xfId="0" applyNumberFormat="1" applyFont="1" applyFill="1" applyBorder="1"/>
    <x:xf numFmtId="168" fontId="28" fillId="7" borderId="43" xfId="0" applyNumberFormat="1" applyFont="1" applyFill="1" applyBorder="1"/>
    <x:xf numFmtId="168" fontId="28" fillId="7" borderId="46" xfId="0" applyNumberFormat="1" applyFont="1" applyFill="1" applyBorder="1"/>
    <x:xf numFmtId="3" fontId="18" fillId="9" borderId="39" xfId="0" applyNumberFormat="1" applyFont="1" applyFill="1" applyBorder="1" applyAlignment="1">
      <x:alignment horizontal="right"/>
    </x:xf>
    <x:xf numFmtId="4" fontId="0" fillId="3" borderId="36" xfId="0" applyNumberFormat="1" applyFont="1" applyFill="1" applyBorder="1" applyAlignment="1">
      <x:alignment horizontal="right"/>
    </x:xf>
    <x:xf numFmtId="0" fontId="5" fillId="3" borderId="36" xfId="0" applyNumberFormat="1" applyFont="1" applyFill="1" applyBorder="1" applyAlignment="1">
      <x:alignment vertical="top" wrapText="1"/>
    </x:xf>
    <x:xf numFmtId="0" fontId="5" fillId="3" borderId="35" xfId="0" applyNumberFormat="1" applyFont="1" applyFill="1" applyBorder="1" applyAlignment="1">
      <x:alignment vertical="top" wrapText="1"/>
    </x:xf>
    <x:xf numFmtId="0" fontId="5" fillId="3" borderId="35" xfId="0" applyNumberFormat="1" applyFont="1" applyFill="1" applyBorder="1"/>
    <x:xf numFmtId="0" fontId="9" fillId="0" borderId="35" xfId="0" applyNumberFormat="1" applyFont="1" applyFill="1" applyBorder="1"/>
    <x:xf numFmtId="0" fontId="41" fillId="0" borderId="35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32" fillId="9" borderId="35" xfId="0" applyNumberFormat="1" applyFont="1" applyFill="1" applyBorder="1" applyAlignment="1">
      <x:alignment horizontal="left" wrapText="1"/>
    </x:xf>
    <x:xf numFmtId="0" fontId="32" fillId="9" borderId="46" xfId="0" applyNumberFormat="1" applyFont="1" applyFill="1" applyBorder="1" applyAlignment="1">
      <x:alignment horizontal="left" wrapText="1"/>
    </x:xf>
    <x:xf numFmtId="0" fontId="19" fillId="4" borderId="35" xfId="0" applyNumberFormat="1" applyFont="1" applyFill="1" applyBorder="1" applyAlignment="1">
      <x:alignment horizontal="center" vertical="center"/>
    </x:xf>
    <x:xf numFmtId="0" fontId="32" fillId="9" borderId="39" xfId="0" applyNumberFormat="1" applyFont="1" applyFill="1" applyBorder="1" applyAlignment="1">
      <x:alignment wrapText="1"/>
    </x:xf>
    <x:xf numFmtId="0" fontId="12" fillId="3" borderId="45" xfId="0" applyNumberFormat="1" applyFont="1" applyFill="1" applyBorder="1" applyAlignment="1">
      <x:alignment horizontal="left" wrapText="1"/>
    </x:xf>
    <x:xf numFmtId="0" fontId="12" fillId="3" borderId="57" xfId="0" applyNumberFormat="1" applyFont="1" applyFill="1" applyBorder="1" applyAlignment="1">
      <x:alignment horizontal="left" wrapText="1"/>
    </x:xf>
    <x:xf numFmtId="0" fontId="12" fillId="3" borderId="44" xfId="0" applyNumberFormat="1" applyFont="1" applyFill="1" applyBorder="1" applyAlignment="1">
      <x:alignment horizontal="left" wrapText="1"/>
    </x:xf>
    <x:xf numFmtId="0" fontId="12" fillId="3" borderId="45" xfId="0" applyNumberFormat="1" applyFont="1" applyFill="1" applyBorder="1" applyAlignment="1">
      <x:alignment horizontal="left" vertical="center" wrapText="1"/>
    </x:xf>
    <x:xf numFmtId="0" fontId="12" fillId="3" borderId="57" xfId="0" applyNumberFormat="1" applyFont="1" applyFill="1" applyBorder="1" applyAlignment="1">
      <x:alignment horizontal="left" vertical="center" wrapText="1"/>
    </x:xf>
    <x:xf numFmtId="0" fontId="12" fillId="3" borderId="44" xfId="0" applyNumberFormat="1" applyFont="1" applyFill="1" applyBorder="1" applyAlignment="1">
      <x:alignment horizontal="left" vertical="center" wrapText="1"/>
    </x:xf>
    <x:xf numFmtId="0" fontId="32" fillId="9" borderId="44" xfId="0" applyNumberFormat="1" applyFont="1" applyFill="1" applyBorder="1" applyAlignment="1">
      <x:alignment wrapText="1"/>
    </x:xf>
    <x:xf numFmtId="0" fontId="28" fillId="9" borderId="39" xfId="0" applyNumberFormat="1" applyFont="1" applyFill="1" applyBorder="1" applyAlignment="1">
      <x:alignment wrapText="1"/>
    </x:xf>
    <x:xf numFmtId="0" fontId="36" fillId="4" borderId="35" xfId="0" applyNumberFormat="1" applyFont="1" applyFill="1" applyBorder="1" applyAlignment="1">
      <x:alignment horizontal="center" vertical="center"/>
    </x:xf>
    <x:xf numFmtId="0" fontId="34" fillId="9" borderId="66" xfId="0" applyNumberFormat="1" applyFont="1" applyFill="1" applyBorder="1" applyAlignment="1">
      <x:alignment horizontal="center" vertical="center"/>
    </x:xf>
    <x:xf numFmtId="0" fontId="33" fillId="9" borderId="67" xfId="0" applyNumberFormat="1" applyFont="1" applyFill="1" applyBorder="1" applyAlignment="1">
      <x:alignment horizontal="center" vertical="center"/>
    </x:xf>
    <x:xf numFmtId="0" fontId="12" fillId="3" borderId="45" xfId="0" applyNumberFormat="1" applyFont="1" applyFill="1" applyBorder="1" applyAlignment="1">
      <x:alignment horizontal="left"/>
    </x:xf>
    <x:xf numFmtId="0" fontId="12" fillId="3" borderId="57" xfId="0" applyNumberFormat="1" applyFont="1" applyFill="1" applyBorder="1" applyAlignment="1">
      <x:alignment horizontal="left"/>
    </x:xf>
    <x:xf numFmtId="0" fontId="12" fillId="3" borderId="44" xfId="0" applyNumberFormat="1" applyFont="1" applyFill="1" applyBorder="1" applyAlignment="1">
      <x:alignment horizontal="left"/>
    </x:xf>
    <x:xf numFmtId="14" fontId="12" fillId="3" borderId="45" xfId="0" applyNumberFormat="1" applyFont="1" applyFill="1" applyBorder="1" applyAlignment="1">
      <x:alignment horizontal="left" vertical="center" wrapText="1"/>
    </x:xf>
    <x:xf numFmtId="14" fontId="12" fillId="3" borderId="57" xfId="0" applyNumberFormat="1" applyFont="1" applyFill="1" applyBorder="1" applyAlignment="1">
      <x:alignment horizontal="left" vertical="center" wrapText="1"/>
    </x:xf>
    <x:xf numFmtId="14" fontId="12" fillId="3" borderId="44" xfId="0" applyNumberFormat="1" applyFont="1" applyFill="1" applyBorder="1" applyAlignment="1">
      <x:alignment horizontal="left" vertical="center" wrapText="1"/>
    </x:xf>
    <x:xf numFmtId="0" fontId="18" fillId="2" borderId="48" xfId="0" applyNumberFormat="1" applyFont="1" applyFill="1" applyBorder="1" applyAlignment="1">
      <x:alignment horizontal="left" vertical="center"/>
    </x:xf>
    <x:xf numFmtId="0" fontId="18" fillId="2" borderId="35" xfId="0" applyNumberFormat="1" applyFont="1" applyFill="1" applyBorder="1" applyAlignment="1">
      <x:alignment horizontal="left" vertical="center"/>
    </x:xf>
    <x:xf numFmtId="0" fontId="18" fillId="2" borderId="45" xfId="0" applyNumberFormat="1" applyFont="1" applyFill="1" applyBorder="1" applyAlignment="1">
      <x:alignment horizontal="left" vertical="center"/>
    </x:xf>
    <x:xf numFmtId="0" fontId="18" fillId="2" borderId="57" xfId="0" applyNumberFormat="1" applyFont="1" applyFill="1" applyBorder="1" applyAlignment="1">
      <x:alignment horizontal="left" vertical="center"/>
    </x:xf>
    <x:xf numFmtId="0" fontId="28" fillId="9" borderId="35" xfId="0" applyNumberFormat="1" applyFont="1" applyFill="1" applyBorder="1" applyAlignment="1">
      <x:alignment horizontal="left" wrapText="1"/>
    </x:xf>
    <x:xf numFmtId="0" fontId="20" fillId="7" borderId="40" xfId="0" applyNumberFormat="1" applyFont="1" applyFill="1" applyBorder="1" applyAlignment="1">
      <x:alignment horizontal="left" wrapText="1"/>
    </x:xf>
    <x:xf numFmtId="0" fontId="20" fillId="7" borderId="43" xfId="0" applyNumberFormat="1" applyFont="1" applyFill="1" applyBorder="1" applyAlignment="1">
      <x:alignment horizontal="left" wrapText="1"/>
    </x:xf>
    <x:xf numFmtId="3" fontId="12" fillId="3" borderId="45" xfId="0" applyNumberFormat="1" applyFont="1" applyFill="1" applyBorder="1" applyAlignment="1">
      <x:alignment horizontal="left" vertical="center"/>
    </x:xf>
    <x:xf numFmtId="3" fontId="12" fillId="3" borderId="57" xfId="0" applyNumberFormat="1" applyFont="1" applyFill="1" applyBorder="1" applyAlignment="1">
      <x:alignment horizontal="left" vertical="center"/>
    </x:xf>
    <x:xf numFmtId="3" fontId="12" fillId="3" borderId="44" xfId="0" applyNumberFormat="1" applyFont="1" applyFill="1" applyBorder="1" applyAlignment="1">
      <x:alignment horizontal="left" vertical="center"/>
    </x:xf>
    <x:xf numFmtId="0" fontId="18" fillId="8" borderId="35" xfId="0" applyNumberFormat="1" applyFont="1" applyFill="1" applyBorder="1" applyAlignment="1">
      <x:alignment horizontal="left" wrapText="1"/>
    </x:xf>
    <x:xf numFmtId="0" fontId="18" fillId="8" borderId="35" xfId="0" applyNumberFormat="1" applyFont="1" applyFill="1" applyBorder="1" applyAlignment="1">
      <x:alignment horizontal="left" vertical="center" wrapText="1"/>
    </x:xf>
    <x:xf numFmtId="0" fontId="28" fillId="9" borderId="40" xfId="0" applyNumberFormat="1" applyFont="1" applyFill="1" applyBorder="1" applyAlignment="1">
      <x:alignment horizontal="left" wrapText="1"/>
    </x:xf>
    <x:xf numFmtId="170" fontId="12" fillId="3" borderId="35" xfId="0" applyNumberFormat="1" applyFont="1" applyFill="1" applyBorder="1" applyAlignment="1">
      <x:alignment horizontal="left" vertical="center" wrapText="1"/>
    </x:xf>
    <x:xf numFmtId="14" fontId="12" fillId="3" borderId="35" xfId="0" applyNumberFormat="1" applyFont="1" applyFill="1" applyBorder="1" applyAlignment="1">
      <x:alignment horizontal="left" vertical="center" wrapText="1"/>
    </x:xf>
    <x:xf numFmtId="0" fontId="25" fillId="4" borderId="35" xfId="0" applyNumberFormat="1" applyFont="1" applyFill="1" applyBorder="1" applyAlignment="1">
      <x:alignment horizontal="left" vertical="top"/>
    </x:xf>
    <x:xf numFmtId="167" fontId="12" fillId="3" borderId="39" xfId="0" applyNumberFormat="1" applyFont="1" applyFill="1" applyBorder="1" applyAlignment="1">
      <x:alignment horizontal="left"/>
    </x:xf>
    <x:xf numFmtId="0" fontId="0" fillId="0" borderId="68" xfId="0" applyNumberFormat="1" applyFont="1" applyFill="1" applyBorder="1" applyAlignment="1">
      <x:alignment horizontal="left" vertical="top" wrapText="1"/>
    </x:xf>
    <x:xf numFmtId="0" fontId="0" fillId="0" borderId="69" xfId="0" applyNumberFormat="1" applyFont="1" applyFill="1" applyBorder="1" applyAlignment="1">
      <x:alignment horizontal="left" vertical="top" wrapText="1"/>
    </x:xf>
    <x:xf numFmtId="0" fontId="0" fillId="0" borderId="63" xfId="0" applyNumberFormat="1" applyFont="1" applyFill="1" applyBorder="1" applyAlignment="1">
      <x:alignment horizontal="left" vertical="top" wrapText="1"/>
    </x:xf>
    <x:xf numFmtId="0" fontId="0" fillId="0" borderId="64" xfId="0" applyNumberFormat="1" applyFont="1" applyFill="1" applyBorder="1" applyAlignment="1">
      <x:alignment horizontal="left" vertical="top" wrapText="1"/>
    </x:xf>
    <x:xf numFmtId="0" fontId="0" fillId="3" borderId="68" xfId="0" applyNumberFormat="1" applyFont="1" applyFill="1" applyBorder="1" applyAlignment="1">
      <x:alignment horizontal="left" vertical="top" wrapText="1"/>
    </x:xf>
    <x:xf numFmtId="0" fontId="0" fillId="3" borderId="69" xfId="0" applyNumberFormat="1" applyFont="1" applyFill="1" applyBorder="1" applyAlignment="1">
      <x:alignment horizontal="left" vertical="top" wrapText="1"/>
    </x:xf>
    <x:xf numFmtId="0" fontId="0" fillId="3" borderId="68" xfId="0" applyNumberFormat="1" applyFont="1" applyFill="1" applyBorder="1" applyAlignment="1">
      <x:alignment horizontal="left" vertical="top"/>
    </x:xf>
    <x:xf numFmtId="0" fontId="0" fillId="3" borderId="69" xfId="0" applyNumberFormat="1" applyFont="1" applyFill="1" applyBorder="1" applyAlignment="1">
      <x:alignment horizontal="left" vertical="top"/>
    </x:xf>
    <x:xf numFmtId="2" fontId="0" fillId="0" borderId="36" xfId="0" applyNumberFormat="1" applyFont="1" applyFill="1" applyBorder="1" applyAlignment="1">
      <x:alignment wrapText="1"/>
    </x:xf>
    <x:xf numFmtId="200" fontId="12" fillId="3" borderId="4" xfId="0" applyNumberFormat="1" applyFont="1" applyFill="1" applyBorder="1" applyAlignment="1">
      <x:alignment horizontal="right"/>
    </x:xf>
    <x:xf numFmtId="200" fontId="12" fillId="3" borderId="39" xfId="0" applyNumberFormat="1" applyFont="1" applyFill="1" applyBorder="1" applyAlignment="1">
      <x:alignment horizontal="right"/>
    </x:xf>
    <x:xf numFmtId="200" fontId="12" fillId="7" borderId="4" xfId="0" applyNumberFormat="1" applyFont="1" applyFill="1" applyBorder="1" applyAlignment="1">
      <x:alignment horizontal="right"/>
    </x:xf>
    <x:xf numFmtId="200" fontId="12" fillId="7" borderId="39" xfId="0" applyNumberFormat="1" applyFont="1" applyFill="1" applyBorder="1" applyAlignment="1">
      <x:alignment horizontal="right"/>
    </x:xf>
    <x:xf numFmtId="200" fontId="12" fillId="7" borderId="6" xfId="0" applyNumberFormat="1" applyFont="1" applyFill="1" applyBorder="1" applyAlignment="1">
      <x:alignment horizontal="right"/>
    </x:xf>
    <x:xf numFmtId="200" fontId="12" fillId="2" borderId="0" xfId="0" applyNumberFormat="1" applyFont="1" applyFill="1" applyBorder="1"/>
    <x:xf numFmtId="200" fontId="20" fillId="3" borderId="19" xfId="0" applyNumberFormat="1" applyFont="1" applyFill="1" applyBorder="1" applyAlignment="1">
      <x:alignment horizontal="right"/>
    </x:xf>
    <x:xf numFmtId="200" fontId="12" fillId="7" borderId="44" xfId="0" applyNumberFormat="1" applyFont="1" applyFill="1" applyBorder="1" applyAlignment="1">
      <x:alignment horizontal="right"/>
    </x:xf>
    <x:xf numFmtId="200" fontId="12" fillId="2" borderId="35" xfId="0" applyNumberFormat="1" applyFont="1" applyFill="1" applyBorder="1"/>
    <x:xf numFmtId="200" fontId="20" fillId="3" borderId="52" xfId="0" applyNumberFormat="1" applyFont="1" applyFill="1" applyBorder="1" applyAlignment="1">
      <x:alignment horizontal="right"/>
    </x:xf>
    <x:xf numFmtId="200" fontId="18" fillId="2" borderId="13" xfId="0" applyNumberFormat="1" applyFont="1" applyFill="1" applyBorder="1" applyAlignment="1">
      <x:alignment vertical="center"/>
    </x:xf>
    <x:xf numFmtId="200" fontId="18" fillId="2" borderId="6" xfId="0" applyNumberFormat="1" applyFont="1" applyFill="1" applyBorder="1" applyAlignment="1">
      <x:alignment vertical="center"/>
    </x:xf>
    <x:xf numFmtId="200" fontId="18" fillId="2" borderId="4" xfId="0" applyNumberFormat="1" applyFont="1" applyFill="1" applyBorder="1" applyAlignment="1">
      <x:alignment vertical="center"/>
    </x:xf>
    <x:xf numFmtId="200" fontId="28" fillId="9" borderId="6" xfId="0" applyNumberFormat="1" applyFont="1" applyFill="1" applyBorder="1" applyAlignment="1">
      <x:alignment horizontal="right"/>
    </x:xf>
    <x:xf numFmtId="200" fontId="18" fillId="9" borderId="6" xfId="0" applyNumberFormat="1" applyFont="1" applyFill="1" applyBorder="1" applyAlignment="1">
      <x:alignment horizontal="right"/>
    </x:xf>
    <x:xf numFmtId="200" fontId="18" fillId="9" borderId="4" xfId="0" applyNumberFormat="1" applyFont="1" applyFill="1" applyBorder="1" applyAlignment="1">
      <x:alignment horizontal="right"/>
    </x:xf>
    <x:xf numFmtId="200" fontId="18" fillId="0" borderId="6" xfId="0" applyNumberFormat="1" applyFont="1" applyFill="1" applyBorder="1" applyAlignment="1">
      <x:alignment vertical="center"/>
    </x:xf>
    <x:xf numFmtId="200" fontId="18" fillId="0" borderId="4" xfId="0" applyNumberFormat="1" applyFont="1" applyFill="1" applyBorder="1" applyAlignment="1">
      <x:alignment vertical="center"/>
    </x:xf>
    <x:xf numFmtId="200" fontId="18" fillId="10" borderId="6" xfId="0" applyNumberFormat="1" applyFont="1" applyFill="1" applyBorder="1" applyAlignment="1">
      <x:alignment vertical="center"/>
    </x:xf>
    <x:xf numFmtId="200" fontId="18" fillId="10" borderId="4" xfId="0" applyNumberFormat="1" applyFont="1" applyFill="1" applyBorder="1" applyAlignment="1">
      <x:alignment vertical="center"/>
    </x:xf>
    <x:xf numFmtId="200" fontId="28" fillId="3" borderId="0" xfId="0" applyNumberFormat="1" applyFont="1" applyFill="1" applyBorder="1" applyAlignment="1">
      <x:alignment horizontal="right"/>
    </x:xf>
    <x:xf numFmtId="200" fontId="18" fillId="3" borderId="0" xfId="0" applyNumberFormat="1" applyFont="1" applyFill="1" applyBorder="1" applyAlignment="1">
      <x:alignment horizontal="right"/>
    </x:xf>
    <x:xf numFmtId="200" fontId="20" fillId="3" borderId="0" xfId="0" applyNumberFormat="1" applyFont="1" applyFill="1" applyBorder="1" applyAlignment="1">
      <x:alignment horizontal="right"/>
    </x:xf>
    <x:xf numFmtId="200" fontId="18" fillId="2" borderId="46" xfId="0" applyNumberFormat="1" applyFont="1" applyFill="1" applyBorder="1" applyAlignment="1">
      <x:alignment vertical="center"/>
    </x:xf>
    <x:xf numFmtId="200" fontId="18" fillId="2" borderId="44" xfId="0" applyNumberFormat="1" applyFont="1" applyFill="1" applyBorder="1" applyAlignment="1">
      <x:alignment vertical="center"/>
    </x:xf>
    <x:xf numFmtId="200" fontId="18" fillId="2" borderId="39" xfId="0" applyNumberFormat="1" applyFont="1" applyFill="1" applyBorder="1" applyAlignment="1">
      <x:alignment vertical="center"/>
    </x:xf>
    <x:xf numFmtId="200" fontId="28" fillId="9" borderId="44" xfId="0" applyNumberFormat="1" applyFont="1" applyFill="1" applyBorder="1" applyAlignment="1">
      <x:alignment horizontal="right"/>
    </x:xf>
    <x:xf numFmtId="200" fontId="18" fillId="9" borderId="44" xfId="0" applyNumberFormat="1" applyFont="1" applyFill="1" applyBorder="1" applyAlignment="1">
      <x:alignment horizontal="right"/>
    </x:xf>
    <x:xf numFmtId="200" fontId="18" fillId="9" borderId="39" xfId="0" applyNumberFormat="1" applyFont="1" applyFill="1" applyBorder="1" applyAlignment="1">
      <x:alignment horizontal="right"/>
    </x:xf>
    <x:xf numFmtId="200" fontId="18" fillId="0" borderId="44" xfId="0" applyNumberFormat="1" applyFont="1" applyFill="1" applyBorder="1" applyAlignment="1">
      <x:alignment vertical="center"/>
    </x:xf>
    <x:xf numFmtId="200" fontId="18" fillId="0" borderId="39" xfId="0" applyNumberFormat="1" applyFont="1" applyFill="1" applyBorder="1" applyAlignment="1">
      <x:alignment vertical="center"/>
    </x:xf>
    <x:xf numFmtId="200" fontId="18" fillId="10" borderId="44" xfId="0" applyNumberFormat="1" applyFont="1" applyFill="1" applyBorder="1" applyAlignment="1">
      <x:alignment vertical="center"/>
    </x:xf>
    <x:xf numFmtId="200" fontId="18" fillId="10" borderId="39" xfId="0" applyNumberFormat="1" applyFont="1" applyFill="1" applyBorder="1" applyAlignment="1">
      <x:alignment vertical="center"/>
    </x:xf>
    <x:xf numFmtId="200" fontId="28" fillId="3" borderId="35" xfId="0" applyNumberFormat="1" applyFont="1" applyFill="1" applyBorder="1" applyAlignment="1">
      <x:alignment horizontal="right"/>
    </x:xf>
    <x:xf numFmtId="200" fontId="18" fillId="3" borderId="35" xfId="0" applyNumberFormat="1" applyFont="1" applyFill="1" applyBorder="1" applyAlignment="1">
      <x:alignment horizontal="right"/>
    </x:xf>
    <x:xf numFmtId="200" fontId="20" fillId="3" borderId="35" xfId="0" applyNumberFormat="1" applyFont="1" applyFill="1" applyBorder="1" applyAlignment="1">
      <x:alignment horizontal="right"/>
    </x:xf>
    <x:xf numFmtId="200" fontId="17" fillId="3" borderId="13" xfId="0" applyNumberFormat="1" applyFont="1" applyFill="1" applyBorder="1" applyAlignment="1">
      <x:alignment vertical="center"/>
    </x:xf>
    <x:xf numFmtId="200" fontId="17" fillId="3" borderId="46" xfId="0" applyNumberFormat="1" applyFont="1" applyFill="1" applyBorder="1" applyAlignment="1">
      <x:alignment vertical="center"/>
    </x:xf>
    <x:xf numFmtId="200" fontId="18" fillId="2" borderId="6" xfId="0" applyNumberFormat="1" applyFont="1" applyFill="1" applyBorder="1"/>
    <x:xf numFmtId="200" fontId="28" fillId="2" borderId="4" xfId="0" applyNumberFormat="1" applyFont="1" applyFill="1" applyBorder="1"/>
    <x:xf numFmtId="200" fontId="18" fillId="2" borderId="4" xfId="0" applyNumberFormat="1" applyFont="1" applyFill="1" applyBorder="1"/>
    <x:xf numFmtId="200" fontId="28" fillId="9" borderId="4" xfId="0" applyNumberFormat="1" applyFont="1" applyFill="1" applyBorder="1"/>
    <x:xf numFmtId="200" fontId="5" fillId="8" borderId="0" xfId="0" applyNumberFormat="1" applyFont="1" applyFill="1" applyBorder="1"/>
    <x:xf numFmtId="200" fontId="5" fillId="8" borderId="13" xfId="0" applyNumberFormat="1" applyFont="1" applyFill="1" applyBorder="1"/>
    <x:xf numFmtId="200" fontId="20" fillId="7" borderId="5" xfId="0" applyNumberFormat="1" applyFont="1" applyFill="1" applyBorder="1" applyAlignment="1">
      <x:alignment horizontal="right"/>
    </x:xf>
    <x:xf numFmtId="200" fontId="28" fillId="7" borderId="10" xfId="0" applyNumberFormat="1" applyFont="1" applyFill="1" applyBorder="1"/>
    <x:xf numFmtId="200" fontId="18" fillId="2" borderId="44" xfId="0" applyNumberFormat="1" applyFont="1" applyFill="1" applyBorder="1"/>
    <x:xf numFmtId="200" fontId="28" fillId="2" borderId="39" xfId="0" applyNumberFormat="1" applyFont="1" applyFill="1" applyBorder="1"/>
    <x:xf numFmtId="200" fontId="18" fillId="2" borderId="39" xfId="0" applyNumberFormat="1" applyFont="1" applyFill="1" applyBorder="1"/>
    <x:xf numFmtId="200" fontId="28" fillId="9" borderId="39" xfId="0" applyNumberFormat="1" applyFont="1" applyFill="1" applyBorder="1"/>
    <x:xf numFmtId="200" fontId="5" fillId="8" borderId="35" xfId="0" applyNumberFormat="1" applyFont="1" applyFill="1" applyBorder="1"/>
    <x:xf numFmtId="200" fontId="5" fillId="8" borderId="46" xfId="0" applyNumberFormat="1" applyFont="1" applyFill="1" applyBorder="1"/>
    <x:xf numFmtId="200" fontId="20" fillId="7" borderId="40" xfId="0" applyNumberFormat="1" applyFont="1" applyFill="1" applyBorder="1" applyAlignment="1">
      <x:alignment horizontal="right"/>
    </x:xf>
    <x:xf numFmtId="200" fontId="28" fillId="7" borderId="43" xfId="0" applyNumberFormat="1" applyFont="1" applyFill="1" applyBorder="1"/>
    <x:xf numFmtId="200" fontId="32" fillId="2" borderId="4" xfId="0" applyNumberFormat="1" applyFont="1" applyFill="1" applyBorder="1"/>
    <x:xf numFmtId="200" fontId="18" fillId="9" borderId="4" xfId="0" applyNumberFormat="1" applyFont="1" applyFill="1" applyBorder="1"/>
    <x:xf numFmtId="200" fontId="32" fillId="9" borderId="4" xfId="0" applyNumberFormat="1" applyFont="1" applyFill="1" applyBorder="1"/>
    <x:xf numFmtId="200" fontId="18" fillId="10" borderId="4" xfId="0" applyNumberFormat="1" applyFont="1" applyFill="1" applyBorder="1"/>
    <x:xf numFmtId="200" fontId="32" fillId="10" borderId="4" xfId="0" applyNumberFormat="1" applyFont="1" applyFill="1" applyBorder="1"/>
    <x:xf numFmtId="200" fontId="28" fillId="8" borderId="0" xfId="0" applyNumberFormat="1" applyFont="1" applyFill="1" applyBorder="1"/>
    <x:xf numFmtId="200" fontId="28" fillId="8" borderId="0" xfId="0" applyNumberFormat="1" applyFont="1" applyFill="1" applyBorder="1" applyAlignment="1">
      <x:alignment horizontal="right"/>
    </x:xf>
    <x:xf numFmtId="200" fontId="18" fillId="8" borderId="0" xfId="0" applyNumberFormat="1" applyFont="1" applyFill="1" applyBorder="1" applyAlignment="1">
      <x:alignment horizontal="right"/>
    </x:xf>
    <x:xf numFmtId="200" fontId="18" fillId="8" borderId="13" xfId="0" applyNumberFormat="1" applyFont="1" applyFill="1" applyBorder="1" applyAlignment="1">
      <x:alignment horizontal="right"/>
    </x:xf>
    <x:xf numFmtId="200" fontId="20" fillId="7" borderId="0" xfId="0" applyNumberFormat="1" applyFont="1" applyFill="1" applyBorder="1" applyAlignment="1">
      <x:alignment horizontal="right"/>
    </x:xf>
    <x:xf numFmtId="200" fontId="28" fillId="7" borderId="13" xfId="0" applyNumberFormat="1" applyFont="1" applyFill="1" applyBorder="1"/>
    <x:xf numFmtId="200" fontId="12" fillId="8" borderId="0" xfId="0" applyNumberFormat="1" applyFont="1" applyFill="1" applyBorder="1"/>
    <x:xf numFmtId="200" fontId="12" fillId="8" borderId="13" xfId="0" applyNumberFormat="1" applyFont="1" applyFill="1" applyBorder="1"/>
    <x:xf numFmtId="200" fontId="32" fillId="2" borderId="39" xfId="0" applyNumberFormat="1" applyFont="1" applyFill="1" applyBorder="1"/>
    <x:xf numFmtId="200" fontId="18" fillId="9" borderId="39" xfId="0" applyNumberFormat="1" applyFont="1" applyFill="1" applyBorder="1"/>
    <x:xf numFmtId="200" fontId="32" fillId="9" borderId="39" xfId="0" applyNumberFormat="1" applyFont="1" applyFill="1" applyBorder="1"/>
    <x:xf numFmtId="200" fontId="18" fillId="10" borderId="39" xfId="0" applyNumberFormat="1" applyFont="1" applyFill="1" applyBorder="1"/>
    <x:xf numFmtId="200" fontId="32" fillId="10" borderId="39" xfId="0" applyNumberFormat="1" applyFont="1" applyFill="1" applyBorder="1"/>
    <x:xf numFmtId="200" fontId="28" fillId="8" borderId="35" xfId="0" applyNumberFormat="1" applyFont="1" applyFill="1" applyBorder="1"/>
    <x:xf numFmtId="200" fontId="28" fillId="8" borderId="35" xfId="0" applyNumberFormat="1" applyFont="1" applyFill="1" applyBorder="1" applyAlignment="1">
      <x:alignment horizontal="right"/>
    </x:xf>
    <x:xf numFmtId="200" fontId="18" fillId="8" borderId="35" xfId="0" applyNumberFormat="1" applyFont="1" applyFill="1" applyBorder="1" applyAlignment="1">
      <x:alignment horizontal="right"/>
    </x:xf>
    <x:xf numFmtId="200" fontId="18" fillId="8" borderId="46" xfId="0" applyNumberFormat="1" applyFont="1" applyFill="1" applyBorder="1" applyAlignment="1">
      <x:alignment horizontal="right"/>
    </x:xf>
    <x:xf numFmtId="200" fontId="20" fillId="7" borderId="35" xfId="0" applyNumberFormat="1" applyFont="1" applyFill="1" applyBorder="1" applyAlignment="1">
      <x:alignment horizontal="right"/>
    </x:xf>
    <x:xf numFmtId="200" fontId="28" fillId="7" borderId="46" xfId="0" applyNumberFormat="1" applyFont="1" applyFill="1" applyBorder="1"/>
    <x:xf numFmtId="200" fontId="12" fillId="8" borderId="35" xfId="0" applyNumberFormat="1" applyFont="1" applyFill="1" applyBorder="1"/>
    <x:xf numFmtId="200" fontId="12" fillId="8" borderId="46" xfId="0" applyNumberFormat="1" applyFont="1" applyFill="1" applyBorder="1"/>
    <x:xf numFmtId="201" fontId="18" fillId="9" borderId="4" xfId="0" applyNumberFormat="1" applyFont="1" applyFill="1" applyBorder="1" applyAlignment="1">
      <x:alignment horizontal="right"/>
    </x:xf>
  </x:cellXfs>
  <x:cellStyles count="11">
    <x:cellStyle name="Hyperlink" xfId="8"/>
    <x:cellStyle name="Prozent" xfId="6"/>
    <x:cellStyle name="Prozent 2" xfId="7"/>
    <x:cellStyle name="Standard" xfId="0"/>
    <x:cellStyle name="Standard 2" xfId="1"/>
    <x:cellStyle name="Standard 3" xfId="9"/>
    <x:cellStyle name="Standard_Instore-Redemption" xfId="2"/>
    <x:cellStyle name="Standard_Instore-Redemption 2" xfId="10"/>
    <x:cellStyle name="Standard_Instore-Redemption 3" xfId="3"/>
    <x:cellStyle name="Standard_Kalk1 (2)" xfId="4"/>
    <x:cellStyle name="Standard_Wirtschaftlichkeitsrechnung_73 Filialen" xfId="5"/>
  </x:cellStyles>
  <x:dxfs count="30">
    <x:dxf>
      <x:fill>
        <x:patternFill>
          <x:bgColor indexed="22"/>
        </x:patternFill>
      </x:fill>
    </x:dxf>
    <x:dxf>
      <x:font>
        <x:color theme="0"/>
      </x:font>
    </x:dxf>
    <x:dxf>
      <x:font>
        <x:color theme="0"/>
      </x:font>
    </x:dxf>
    <x:dxf>
      <x:font>
        <x:color theme="0"/>
      </x:font>
    </x:dxf>
    <x:dxf>
      <x:font>
        <x:color theme="0"/>
      </x:font>
    </x:dxf>
    <x:dxf>
      <x:font>
        <x:color theme="0"/>
      </x:font>
    </x:dxf>
    <x:dxf>
      <x:fill>
        <x:patternFill>
          <x:bgColor theme="0" tint="-0.04999"/>
        </x:patternFill>
      </x:fill>
    </x:dxf>
    <x:dxf>
      <x:fill>
        <x:patternFill>
          <x:bgColor theme="0" tint="-0.04999"/>
        </x:patternFill>
      </x:fill>
    </x:dxf>
    <x:dxf>
      <x:fill>
        <x:patternFill>
          <x:bgColor theme="0" tint="-0.04999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ill>
        <x:patternFill>
          <x:bgColor theme="0" tint="-0.04999"/>
        </x:patternFill>
      </x:fill>
    </x:dxf>
    <x:dxf>
      <x:fill>
        <x:patternFill>
          <x:bgColor indexed="22"/>
        </x:patternFill>
      </x:fill>
    </x:dxf>
    <x:dxf>
      <x:fill>
        <x:patternFill>
          <x:bgColor indexed="62"/>
        </x:patternFill>
      </x:fill>
    </x:dxf>
    <x:dxf>
      <x:font>
        <x:color rgb="FFFF0000"/>
      </x:font>
    </x:dxf>
    <x:dxf>
      <x:fill>
        <x:patternFill>
          <x:bgColor indexed="22"/>
        </x:patternFill>
      </x:fill>
    </x:dxf>
    <x:dxf>
      <x:fill>
        <x:patternFill>
          <x:bgColor indexed="22"/>
        </x:patternFill>
      </x:fill>
    </x:dxf>
    <x:dxf>
      <x:font>
        <x:color rgb="FFC00000"/>
      </x:font>
    </x:dxf>
    <x:dxf>
      <x:font>
        <x:color rgb="FFC00000"/>
      </x:font>
    </x:dxf>
    <x:dxf>
      <x:font>
        <x:color rgb="FFC00000"/>
      </x:font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1F5DB7"/>
      <x:rgbColor rgb="00FFFF00"/>
      <x:rgbColor rgb="00FF00FF"/>
      <x:rgbColor rgb="0000FFFF"/>
      <x:rgbColor rgb="00800000"/>
      <x:rgbColor rgb="00008000"/>
      <x:rgbColor rgb="00E2001A"/>
      <x:rgbColor rgb="00808000"/>
      <x:rgbColor rgb="00F9DC4F"/>
      <x:rgbColor rgb="00008080"/>
      <x:rgbColor rgb="00BBBCBC"/>
      <x:rgbColor rgb="00787B7C"/>
      <x:rgbColor rgb="00707070"/>
      <x:rgbColor rgb="00A9A9A9"/>
      <x:rgbColor rgb="00C6C6C6"/>
      <x:rgbColor rgb="004579AF"/>
      <x:rgbColor rgb="006C89B0"/>
      <x:rgbColor rgb="008FA2C2"/>
      <x:rgbColor rgb="00B2BED5"/>
      <x:rgbColor rgb="00ED0000"/>
      <x:rgbColor rgb="00F4841E"/>
      <x:rgbColor rgb="00F6B976"/>
      <x:rgbColor rgb="00FBDB84"/>
      <x:rgbColor rgb="00FDE7AD"/>
      <x:rgbColor rgb="00FDE69D"/>
      <x:rgbColor rgb="00FFFFFF"/>
      <x:rgbColor rgb="00008080"/>
      <x:rgbColor rgb="000000FF"/>
      <x:rgbColor rgb="00A9B6DB"/>
      <x:rgbColor rgb="00CCFFFF"/>
      <x:rgbColor rgb="00CCFFCC"/>
      <x:rgbColor rgb="00FFFF99"/>
      <x:rgbColor rgb="00CAD3EE"/>
      <x:rgbColor rgb="00FF99CC"/>
      <x:rgbColor rgb="00FCEDA7"/>
      <x:rgbColor rgb="00FFCC99"/>
      <x:rgbColor rgb="006C94D6"/>
      <x:rgbColor rgb="0033CCCC"/>
      <x:rgbColor rgb="0099CC00"/>
      <x:rgbColor rgb="00FFCC00"/>
      <x:rgbColor rgb="00FF9900"/>
      <x:rgbColor rgb="00FF6600"/>
      <x:rgbColor rgb="00F7D323"/>
      <x:rgbColor rgb="009A9C9D"/>
      <x:rgbColor rgb="00C0C0C0"/>
      <x:rgbColor rgb="00339966"/>
      <x:rgbColor rgb="00004171"/>
      <x:rgbColor rgb="00FCC51D"/>
      <x:rgbColor rgb="00993300"/>
      <x:rgbColor rgb="00FAE57B"/>
      <x:rgbColor rgb="00FF5B00"/>
      <x:rgbColor rgb="00565A5B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693e818772437e" /><Relationship Type="http://schemas.openxmlformats.org/officeDocument/2006/relationships/theme" Target="/xl/theme/theme1.xml" Id="Rcaaa91a733744a64" /><Relationship Type="http://schemas.openxmlformats.org/officeDocument/2006/relationships/sharedStrings" Target="/xl/sharedStrings.xml" Id="Re1e661e7068c4f83" /><Relationship Type="http://schemas.openxmlformats.org/officeDocument/2006/relationships/worksheet" Target="/xl/worksheets/sheet1.xml" Id="R2495f86c48fa4453" /><Relationship Type="http://schemas.openxmlformats.org/officeDocument/2006/relationships/worksheet" Target="/xl/worksheets/sheet2.xml" Id="R5efbd80384b34a16" /><Relationship Type="http://schemas.openxmlformats.org/officeDocument/2006/relationships/worksheet" Target="/xl/worksheets/sheet3.xml" Id="R1b5f3d5c39c8439d" /><Relationship Type="http://schemas.openxmlformats.org/officeDocument/2006/relationships/worksheet" Target="/xl/worksheets/sheet4.xml" Id="Rd56a2546a3ca4e81" /><Relationship Type="http://schemas.openxmlformats.org/officeDocument/2006/relationships/worksheet" Target="/xl/worksheets/sheet5.xml" Id="R102545b7882b47bd" /><Relationship Type="http://schemas.openxmlformats.org/officeDocument/2006/relationships/worksheet" Target="/xl/worksheets/sheet6.xml" Id="Rc390be56572244af" /><Relationship Type="http://schemas.openxmlformats.org/officeDocument/2006/relationships/worksheet" Target="/xl/worksheets/sheet7.xml" Id="R63511162642d4be7" /><Relationship Type="http://schemas.openxmlformats.org/officeDocument/2006/relationships/worksheet" Target="/xl/worksheets/sheet8.xml" Id="R899e5b57e5bf4b29" /><Relationship Type="http://schemas.openxmlformats.org/officeDocument/2006/relationships/worksheet" Target="/xl/worksheets/sheet9.xml" Id="R91c8b372e60b4b55" /><Relationship Type="http://schemas.openxmlformats.org/officeDocument/2006/relationships/worksheet" Target="/xl/worksheets/sheet10.xml" Id="Rb38757ebda1e43fd" /><Relationship Type="http://schemas.openxmlformats.org/officeDocument/2006/relationships/worksheet" Target="/xl/worksheets/sheet11.xml" Id="Rddf2d114fc334c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e620733ed4e450b" /><Relationship Type="http://schemas.openxmlformats.org/officeDocument/2006/relationships/chart" Target="/xl/drawings/charts/chart1.xml" Id="R9efab26b1f2742a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07f08f279c8a4a70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8918670704809616"/>
          <c:y val="0.04251490345884982"/>
          <c:w val="0.7820510556440562"/>
          <c:h val="0.9413728333463267"/>
        </c:manualLayout>
      </c:layout>
      <c:lineChart>
        <c:grouping val="standard"/>
        <c:varyColors val="0"/>
        <c:ser>
          <c:idx val="0"/>
          <c:order val="0"/>
          <c:tx>
            <c:strRef>
              <c:f>Summary!$E$41</c:f>
              <c:strCache>
                <c:ptCount val="1"/>
                <c:pt idx="0">
                  <c:v>Discounted EVA cumulative</c:v>
                </c:pt>
              </c:strCache>
            </c:strRef>
          </c:tx>
          <c:marker>
            <c:symbol val="none"/>
          </c:marker>
          <c:cat>
            <c:numRef>
              <c:f>Summary!$I$27:$R$27</c:f>
              <c:numCache>
                <c:formatCode>0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Summary!$I$41:$R$41</c:f>
              <c:numCache>
                <c:formatCode>#,##0\ "€"</c:formatCode>
                <c:ptCount val="10"/>
                <c:pt idx="0">
                  <c:v>-11840.480477754698</c:v>
                </c:pt>
                <c:pt idx="1">
                  <c:v>6716.859533455152</c:v>
                </c:pt>
                <c:pt idx="2">
                  <c:v>136652.51050726094</c:v>
                </c:pt>
                <c:pt idx="3">
                  <c:v>126743.18264136936</c:v>
                </c:pt>
                <c:pt idx="4">
                  <c:v>124291.16944480708</c:v>
                </c:pt>
                <c:pt idx="5">
                  <c:v>80748.2223908774</c:v>
                </c:pt>
                <c:pt idx="6">
                  <c:v>41760.97129977538</c:v>
                </c:pt>
                <c:pt idx="7">
                  <c:v>19619.816263763954</c:v>
                </c:pt>
                <c:pt idx="8">
                  <c:v>19619.816263763954</c:v>
                </c:pt>
                <c:pt idx="9">
                  <c:v>19619.816263763954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98848"/>
        <c:axId val="119200384"/>
      </c:lineChart>
      <c:catAx>
        <c:axId val="11919884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xmlns:a="http://schemas.openxmlformats.org/drawingml/2006/main" rot="0" vert="horz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19200384"/>
        <c:crosses val="autoZero"/>
        <c:lblAlgn val="ctr"/>
        <c:lblOffset val="100"/>
        <c:noMultiLvlLbl val="0"/>
      </c:catAx>
      <c:valAx>
        <c:axId val="119200384"/>
        <c:scaling>
          <c:orientation val="minMax"/>
        </c:scaling>
        <c:delete val="0"/>
        <c:axPos val="l"/>
        <c:numFmt formatCode="#,##0\ &quot;€&quot;" sourceLinked="1"/>
        <c:majorTickMark val="out"/>
        <c:minorTickMark val="none"/>
        <c:tickLblPos val="nextTo"/>
        <c:txPr>
          <a:bodyPr xmlns:a="http://schemas.openxmlformats.org/drawingml/2006/main" rot="0" vert="horz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19198848"/>
        <c:crosses val="autoZero"/>
        <c:crossBetween val="between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45" b="0" i="0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4</xdr:col>
      <xdr:colOff>38100</xdr:colOff>
      <xdr:row>60</xdr:row>
      <xdr:rowOff>19050</xdr:rowOff>
    </xdr:from>
    <xdr:to>
      <xdr:col>17</xdr:col>
      <xdr:colOff>657225</xdr:colOff>
      <xdr:row>88</xdr:row>
      <xdr:rowOff>161925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fab26b1f2742a2"/>
        </a:graphicData>
      </a:graphic>
    </xdr:graphicFrame>
    <xdr:clientData/>
  </xdr:twoCellAnchor>
  <xdr:twoCellAnchor editAs="oneCell">
    <xdr:from>
      <xdr:col>2</xdr:col>
      <xdr:colOff>152400</xdr:colOff>
      <xdr:row>25</xdr:row>
      <xdr:rowOff>0</xdr:rowOff>
    </xdr:from>
    <xdr:to>
      <xdr:col>2</xdr:col>
      <xdr:colOff>152400</xdr:colOff>
      <xdr:row>25</xdr:row>
      <xdr:rowOff>0</xdr:rowOff>
    </xdr:to>
    <xdr:sp>
      <xdr:nvSpPr>
        <xdr:cNvPr id="2" name="Line 17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342900" y="3643313"/>
          <a:ext cx="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 editAs="oneCell">
    <xdr:from>
      <xdr:col>5</xdr:col>
      <xdr:colOff>71433</xdr:colOff>
      <xdr:row>0</xdr:row>
      <xdr:rowOff>72000</xdr:rowOff>
    </xdr:from>
    <xdr:to>
      <xdr:col>6</xdr:col>
      <xdr:colOff>11903</xdr:colOff>
      <xdr:row>4</xdr:row>
      <xdr:rowOff>72002</xdr:rowOff>
    </xdr:to>
    <xdr:pic>
      <xdr:nvPicPr>
        <xdr:cNvPr id="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620733ed4e45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6</xdr:col>
      <xdr:colOff>550336</xdr:colOff>
      <xdr:row>0</xdr:row>
      <xdr:rowOff>74083</xdr:rowOff>
    </xdr:from>
    <xdr:to>
      <xdr:col>7</xdr:col>
      <xdr:colOff>31754</xdr:colOff>
      <xdr:row>4</xdr:row>
      <xdr:rowOff>63502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f08f279c8a4a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0</xdr:col>
      <xdr:colOff>142875</xdr:colOff>
      <xdr:row>0</xdr:row>
      <xdr:rowOff>104775</xdr:rowOff>
    </xdr:from>
    <xdr:to>
      <xdr:col>3</xdr:col>
      <xdr:colOff>381000</xdr:colOff>
      <xdr:row>4</xdr:row>
      <xdr:rowOff>0</xdr:rowOff>
    </xdr:to>
    <xdr:sp>
      <xdr:nvSpPr>
        <xdr:cNvPr id="1" name="Text 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2875" y="104775"/>
          <a:ext cx="2524125" cy="54292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chemeClr val="bg1">
              <a:lumMod val="65000"/>
            </a:schemeClr>
          </a:solidFill>
          <a:miter/>
        </a:ln>
      </xdr:spPr>
      <xdr:txBody>
        <a:bodyPr xmlns:a="http://schemas.openxmlformats.org/drawingml/2006/main" wrap="square" lIns="27432" tIns="22860" rIns="0" bIns="0" anchor="t"/>
        <a:lstStyle xmlns:a="http://schemas.openxmlformats.org/drawingml/2006/main"/>
        <a:p xmlns:a="http://schemas.openxmlformats.org/drawingml/2006/main">
          <a:pPr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describing your project: application and process definition, project scope, timetable...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>
  <xdr:twoCellAnchor editAs="oneCell">
    <xdr:from>
      <xdr:col>0</xdr:col>
      <xdr:colOff>28575</xdr:colOff>
      <xdr:row>0</xdr:row>
      <xdr:rowOff>28575</xdr:rowOff>
    </xdr:from>
    <xdr:to>
      <xdr:col>3</xdr:col>
      <xdr:colOff>66675</xdr:colOff>
      <xdr:row>4</xdr:row>
      <xdr:rowOff>76200</xdr:rowOff>
    </xdr:to>
    <xdr:sp>
      <xdr:nvSpPr>
        <xdr:cNvPr id="1" name="Text 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8575" y="28575"/>
          <a:ext cx="2524125" cy="7239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chemeClr val="bg1">
              <a:lumMod val="65000"/>
            </a:schemeClr>
          </a:solidFill>
          <a:miter/>
        </a:ln>
      </xdr:spPr>
      <xdr:txBody>
        <a:bodyPr xmlns:a="http://schemas.openxmlformats.org/drawingml/2006/main" wrap="square" lIns="27432" tIns="22860" rIns="0" bIns="0" anchor="t"/>
        <a:lstStyle xmlns:a="http://schemas.openxmlformats.org/drawingml/2006/main"/>
        <a:p xmlns:a="http://schemas.openxmlformats.org/drawingml/2006/main">
          <a:pPr marL="0" indent="0"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listing, structuring and calculating of costs (Project report, IPT) and link those costs to the "Cost Benefit Calculation" sheet.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>
  <xdr:twoCellAnchor editAs="oneCell">
    <xdr:from>
      <xdr:col>0</xdr:col>
      <xdr:colOff>114300</xdr:colOff>
      <xdr:row>0</xdr:row>
      <xdr:rowOff>85725</xdr:rowOff>
    </xdr:from>
    <xdr:to>
      <xdr:col>5</xdr:col>
      <xdr:colOff>152400</xdr:colOff>
      <xdr:row>2</xdr:row>
      <xdr:rowOff>142875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4300" y="85725"/>
          <a:ext cx="4181475" cy="40957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chemeClr val="bg1">
              <a:lumMod val="65000"/>
            </a:schemeClr>
          </a:solidFill>
          <a:miter/>
        </a:ln>
      </xdr:spPr>
      <xdr:txBody>
        <a:bodyPr xmlns:a="http://schemas.openxmlformats.org/drawingml/2006/main" wrap="square" lIns="27432" tIns="22860" rIns="0" bIns="0" anchor="t"/>
        <a:lstStyle xmlns:a="http://schemas.openxmlformats.org/drawingml/2006/main"/>
        <a:p xmlns:a="http://schemas.openxmlformats.org/drawingml/2006/main">
          <a:pPr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listing, structuring and calculating of potential benefits and link those benefits to the "Cost Benefit Calculation" sheet.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>
  <xdr:twoCellAnchor editAs="oneCell">
    <xdr:from>
      <xdr:col>0</xdr:col>
      <xdr:colOff>142874</xdr:colOff>
      <xdr:row>0</xdr:row>
      <xdr:rowOff>133351</xdr:rowOff>
    </xdr:from>
    <xdr:to>
      <xdr:col>3</xdr:col>
      <xdr:colOff>1343025</xdr:colOff>
      <xdr:row>3</xdr:row>
      <xdr:rowOff>9525</xdr:rowOff>
    </xdr:to>
    <xdr:sp>
      <xdr:nvSpPr>
        <xdr:cNvPr id="1" name="Text 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2874" y="133351"/>
          <a:ext cx="5238751" cy="36194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  <xdr:txBody>
        <a:bodyPr xmlns:a="http://schemas.openxmlformats.org/drawingml/2006/main" wrap="square" lIns="27432" tIns="22860" rIns="0" bIns="0" anchor="t"/>
        <a:lstStyle xmlns:a="http://schemas.openxmlformats.org/drawingml/2006/main"/>
        <a:p xmlns:a="http://schemas.openxmlformats.org/drawingml/2006/main">
          <a:pPr algn="l"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list the demands belonging to the project and describe them.</a:t>
          </a:r>
          <a:endParaRPr/>
        </a:p>
        <a:p xmlns:a="http://schemas.openxmlformats.org/drawingml/2006/main">
          <a:pPr algn="l"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Demand Category: Legal - Cost reduction - Sales / margin increase – Quality improvement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>
  <xdr:twoCellAnchor editAs="oneCell">
    <xdr:from>
      <xdr:col>0</xdr:col>
      <xdr:colOff>66674</xdr:colOff>
      <xdr:row>0</xdr:row>
      <xdr:rowOff>66675</xdr:rowOff>
    </xdr:from>
    <xdr:to>
      <xdr:col>5</xdr:col>
      <xdr:colOff>28575</xdr:colOff>
      <xdr:row>4</xdr:row>
      <xdr:rowOff>38100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6674" y="66675"/>
          <a:ext cx="4105276" cy="6477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  <xdr:txBody>
        <a:bodyPr xmlns:a="http://schemas.openxmlformats.org/drawingml/2006/main" wrap="square" lIns="27432" tIns="22860" rIns="0" bIns="0" anchor="t"/>
        <a:lstStyle xmlns:a="http://schemas.openxmlformats.org/drawingml/2006/main"/>
        <a:p xmlns:a="http://schemas.openxmlformats.org/drawingml/2006/main">
          <a:pPr algn="l">
            <a:lnSpc>
              <a:spcPts val="1000"/>
            </a:lnSpc>
            <a:buNone/>
          </a:pPr>
          <a:r>
            <a:rPr sz="1000" b="1" i="0" u="none">
              <a:solidFill>
                <a:srgbClr val="000000"/>
              </a:solidFill>
              <a:latin typeface="Arial"/>
              <a:ea typeface="Arial"/>
              <a:cs typeface="Arial"/>
            </a:rPr>
            <a:t>If the project includes demands independant from each other:</a:t>
          </a:r>
          <a:endParaRPr/>
        </a:p>
        <a:p xmlns:a="http://schemas.openxmlformats.org/drawingml/2006/main">
          <a:pPr algn="l">
            <a:lnSpc>
              <a:spcPts val="900"/>
            </a:lnSpc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use this sheet for listing, structuring, describing and calculating of potential benefits and link those benefits to the "List of Demands" sheet.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>
  <xdr:twoCellAnchor editAs="oneCell">
    <xdr:from>
      <xdr:col>0</xdr:col>
      <xdr:colOff>114300</xdr:colOff>
      <xdr:row>0</xdr:row>
      <xdr:rowOff>104775</xdr:rowOff>
    </xdr:from>
    <xdr:to>
      <xdr:col>5</xdr:col>
      <xdr:colOff>76201</xdr:colOff>
      <xdr:row>4</xdr:row>
      <xdr:rowOff>76200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4300" y="104775"/>
          <a:ext cx="4105276" cy="6477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  <xdr:txBody>
        <a:bodyPr xmlns:a="http://schemas.openxmlformats.org/drawingml/2006/main" wrap="square" lIns="27432" tIns="22860" rIns="0" bIns="0" anchor="t"/>
        <a:lstStyle xmlns:a="http://schemas.openxmlformats.org/drawingml/2006/main"/>
        <a:p xmlns:a="http://schemas.openxmlformats.org/drawingml/2006/main">
          <a:pPr algn="l">
            <a:lnSpc>
              <a:spcPts val="1000"/>
            </a:lnSpc>
            <a:buNone/>
          </a:pPr>
          <a:r>
            <a:rPr sz="1000" b="1" i="0" u="none">
              <a:solidFill>
                <a:srgbClr val="000000"/>
              </a:solidFill>
              <a:latin typeface="Arial"/>
              <a:ea typeface="Arial"/>
              <a:cs typeface="Arial"/>
            </a:rPr>
            <a:t>If the project includes demands independant from each other:</a:t>
          </a:r>
          <a:endParaRPr/>
        </a:p>
        <a:p xmlns:a="http://schemas.openxmlformats.org/drawingml/2006/main">
          <a:pPr algn="l">
            <a:lnSpc>
              <a:spcPts val="900"/>
            </a:lnSpc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use this sheet for listing, structuring, describing and calculating of potential benefits and link those benefits to the "List of Demands" sheet.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0eb4e57ca5f4d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3ed646f4505447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4383057686c740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8e41478e39584d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2056a71605f446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966beab8ad6343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7.xml" Id="Rb465c0f8366d4db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8.xml" Id="Re7da834e04ae4f4c" /></Relationships>
</file>

<file path=xl/worksheets/sheet1.xml><?xml version="1.0" encoding="utf-8"?>
<x:worksheet xmlns:x="http://schemas.openxmlformats.org/spreadsheetml/2006/main">
  <x:sheetPr>
    <x:tabColor theme="7" tint="0.39998"/>
  </x:sheetPr>
  <x:sheetFormatPr baseColWidth="10" defaultColWidth="9.140625" defaultRowHeight="12.75"/>
  <x:cols>
    <x:col min="1" max="1" width="25.7109375" style="8" customWidth="1"/>
    <x:col min="2" max="2" width="10.85546875" style="8" customWidth="1"/>
    <x:col min="3" max="3" width="14.42578125" style="8" customWidth="1"/>
    <x:col min="4" max="5" width="9.140625" style="8" customWidth="0"/>
    <x:col min="6" max="6" width="11.140625" style="8" customWidth="1"/>
    <x:col min="7" max="16384" width="9.140625" style="8" customWidth="0"/>
  </x:cols>
  <x:sheetData>
    <x:row r="1">
      <x:c r="A1" s="17" t="s">
        <x:v>0</x:v>
      </x:c>
      <x:c r="B1" s="17" t="s">
        <x:v>1</x:v>
      </x:c>
      <x:c r="C1" s="17" t="s">
        <x:v>2</x:v>
      </x:c>
      <x:c r="F1" s="17" t="s">
        <x:v>3</x:v>
      </x:c>
    </x:row>
    <x:row r="2">
      <x:c r="A2" s="9" t="s">
        <x:v>4</x:v>
      </x:c>
      <x:c r="B2" s="18">
        <x:v>0.25</x:v>
      </x:c>
      <x:c r="C2" s="18">
        <x:v>5.4816128388915059E-2</x:v>
      </x:c>
      <x:c r="F2" s="9">
        <x:v>2017</x:v>
      </x:c>
    </x:row>
    <x:row r="3">
      <x:c r="A3" s="9" t="s">
        <x:v>5</x:v>
      </x:c>
      <x:c r="B3" s="18">
        <x:v>0.33989999999999998</x:v>
      </x:c>
      <x:c r="C3" s="18">
        <x:v>5.6456071922248392E-2</x:v>
      </x:c>
      <x:c r="F3" s="9" t="n">
        <x:f>F2+1</x:f>
        <x:v>2018</x:v>
      </x:c>
    </x:row>
    <x:row r="4">
      <x:c r="A4" s="9" t="s">
        <x:v>6</x:v>
      </x:c>
      <x:c r="B4" s="18">
        <x:v>0.1</x:v>
      </x:c>
      <x:c r="C4" s="18">
        <x:v>7.5810782555581727E-2</x:v>
      </x:c>
      <x:c r="F4" s="9" t="n">
        <x:f>F3+1</x:f>
        <x:v>2019</x:v>
      </x:c>
    </x:row>
    <x:row r="5">
      <x:c r="A5" s="9" t="s">
        <x:v>7</x:v>
      </x:c>
      <x:c r="B5" s="18">
        <x:v>0.25</x:v>
      </x:c>
      <x:c r="C5" s="18">
        <x:v>5.7104545055581726E-2</x:v>
      </x:c>
      <x:c r="F5" s="9" t="n">
        <x:f t="shared" ref="F5:F39" si="0">F4+1</x:f>
        <x:v>2020</x:v>
      </x:c>
    </x:row>
    <x:row r="6">
      <x:c r="A6" s="19" t="s">
        <x:v>8</x:v>
      </x:c>
      <x:c r="B6" s="18">
        <x:v>0.26938686929014782</x:v>
      </x:c>
      <x:c r="C6" s="18">
        <x:v>5.8104424896679725E-2</x:v>
      </x:c>
      <x:c r="F6" s="9">
        <x:f t="shared" si="0"/>
        <x:v>2021</x:v>
      </x:c>
    </x:row>
    <x:row r="7">
      <x:c r="A7" s="9" t="s">
        <x:v>9</x:v>
      </x:c>
      <x:c r="B7" s="18">
        <x:v>0.2</x:v>
      </x:c>
      <x:c r="C7" s="18">
        <x:v>8.4555324222248388E-2</x:v>
      </x:c>
      <x:c r="F7" s="9">
        <x:f t="shared" si="0"/>
        <x:v>2022</x:v>
      </x:c>
    </x:row>
    <x:row r="8">
      <x:c r="A8" s="9" t="s">
        <x:v>10</x:v>
      </x:c>
      <x:c r="B8" s="18">
        <x:v>0.19</x:v>
      </x:c>
      <x:c r="C8" s="18">
        <x:v>5.832484005558173E-2</x:v>
      </x:c>
      <x:c r="F8" s="9">
        <x:f t="shared" si="0"/>
        <x:v>2023</x:v>
      </x:c>
    </x:row>
    <x:row r="9">
      <x:c r="A9" s="9" t="s">
        <x:v>11</x:v>
      </x:c>
      <x:c r="B9" s="18">
        <x:v>0.23499999999999999</x:v>
      </x:c>
      <x:c r="C9" s="18">
        <x:v>5.3040793805581729E-2</x:v>
      </x:c>
      <x:c r="F9" s="9">
        <x:f t="shared" si="0"/>
        <x:v>2024</x:v>
      </x:c>
    </x:row>
    <x:row r="10">
      <x:c r="A10" s="9" t="s">
        <x:v>12</x:v>
      </x:c>
      <x:c r="B10" s="18">
        <x:v>0.25</x:v>
      </x:c>
      <x:c r="C10" s="18">
        <x:v>9.5867045055581732E-2</x:v>
      </x:c>
      <x:c r="F10" s="9">
        <x:f t="shared" si="0"/>
        <x:v>2025</x:v>
      </x:c>
    </x:row>
    <x:row r="11">
      <x:c r="A11" s="9" t="s">
        <x:v>13</x:v>
      </x:c>
      <x:c r="B11" s="18">
        <x:v>0.38</x:v>
      </x:c>
      <x:c r="C11" s="18">
        <x:v>5.3739129222248383E-2</x:v>
      </x:c>
      <x:c r="F11" s="9">
        <x:f t="shared" si="0"/>
        <x:v>2026</x:v>
      </x:c>
    </x:row>
    <x:row r="12">
      <x:c r="A12" s="9" t="s">
        <x:v>14</x:v>
      </x:c>
      <x:c r="B12" s="18">
        <x:v>0.30530000000000002</x:v>
      </x:c>
      <x:c r="C12" s="18">
        <x:v>5.0259167997248395E-2</x:v>
      </x:c>
      <x:c r="F12" s="9">
        <x:f t="shared" si="0"/>
        <x:v>2027</x:v>
      </x:c>
    </x:row>
    <x:row r="13">
      <x:c r="A13" s="9" t="s">
        <x:v>15</x:v>
      </x:c>
      <x:c r="B13" s="18">
        <x:v>0.26</x:v>
      </x:c>
      <x:c r="C13" s="18">
        <x:v>0.12151507922224838</x:v>
      </x:c>
      <x:c r="F13" s="9">
        <x:f t="shared" si="0"/>
        <x:v>2028</x:v>
      </x:c>
    </x:row>
    <x:row r="14">
      <x:c r="A14" s="9" t="s">
        <x:v>16</x:v>
      </x:c>
      <x:c r="B14" s="18">
        <x:v>0.16500000000000001</x:v>
      </x:c>
      <x:c r="C14" s="18">
        <x:v>5.246420463891506E-2</x:v>
      </x:c>
      <x:c r="F14" s="9">
        <x:f t="shared" si="0"/>
        <x:v>2029</x:v>
      </x:c>
    </x:row>
    <x:row r="15">
      <x:c r="A15" s="9" t="s">
        <x:v>17</x:v>
      </x:c>
      <x:c r="B15" s="18">
        <x:v>0.19</x:v>
      </x:c>
      <x:c r="C15" s="18">
        <x:v>7.0729403555581716E-2</x:v>
      </x:c>
      <x:c r="F15" s="9">
        <x:f t="shared" si="0"/>
        <x:v>2030</x:v>
      </x:c>
    </x:row>
    <x:row r="16">
      <x:c r="A16" s="9" t="s">
        <x:v>18</x:v>
      </x:c>
      <x:c r="B16" s="18">
        <x:v>0.309</x:v>
      </x:c>
      <x:c r="C16" s="18">
        <x:v>6.2038486736915061E-2</x:v>
      </x:c>
      <x:c r="F16" s="9">
        <x:f t="shared" si="0"/>
        <x:v>2031</x:v>
      </x:c>
    </x:row>
    <x:row r="17">
      <x:c r="A17" s="9" t="s">
        <x:v>19</x:v>
      </x:c>
      <x:c r="B17" s="18">
        <x:v>0.25</x:v>
      </x:c>
      <x:c r="C17" s="18">
        <x:v>7.185179505558173E-2</x:v>
      </x:c>
      <x:c r="F17" s="9">
        <x:f t="shared" si="0"/>
        <x:v>2032</x:v>
      </x:c>
    </x:row>
    <x:row r="18">
      <x:c r="A18" s="9" t="s">
        <x:v>20</x:v>
      </x:c>
      <x:c r="B18" s="18">
        <x:v>0.314</x:v>
      </x:c>
      <x:c r="C18" s="18">
        <x:v>6.9931950222248393E-2</x:v>
      </x:c>
      <x:c r="F18" s="9">
        <x:f t="shared" si="0"/>
        <x:v>2033</x:v>
      </x:c>
    </x:row>
    <x:row r="19">
      <x:c r="A19" s="9" t="s">
        <x:v>21</x:v>
      </x:c>
      <x:c r="B19" s="18">
        <x:v>0.3306</x:v>
      </x:c>
      <x:c r="C19" s="18">
        <x:v>5.2422211066115061E-2</x:v>
      </x:c>
      <x:c r="F19" s="9">
        <x:f t="shared" si="0"/>
        <x:v>2034</x:v>
      </x:c>
    </x:row>
    <x:row r="20">
      <x:c r="A20" s="9" t="s">
        <x:v>22</x:v>
      </x:c>
      <x:c r="B20" s="18">
        <x:v>0.2</x:v>
      </x:c>
      <x:c r="C20" s="18">
        <x:v>7.5472434222248391E-2</x:v>
      </x:c>
      <x:c r="F20" s="9">
        <x:f t="shared" si="0"/>
        <x:v>2035</x:v>
      </x:c>
    </x:row>
    <x:row r="21">
      <x:c r="A21" s="9" t="s">
        <x:v>23</x:v>
      </x:c>
      <x:c r="B21" s="18"/>
      <x:c r="C21" s="18"/>
      <x:c r="F21" s="9">
        <x:f t="shared" si="0"/>
        <x:v>2036</x:v>
      </x:c>
    </x:row>
    <x:row r="22">
      <x:c r="A22" s="9" t="s">
        <x:v>24</x:v>
      </x:c>
      <x:c r="B22" s="18">
        <x:v>0.25</x:v>
      </x:c>
      <x:c r="C22" s="18">
        <x:v>5.6630342305581727E-2</x:v>
      </x:c>
      <x:c r="F22" s="9">
        <x:f t="shared" si="0"/>
        <x:v>2037</x:v>
      </x:c>
    </x:row>
    <x:row r="23">
      <x:c r="A23" s="9" t="s">
        <x:v>25</x:v>
      </x:c>
      <x:c r="B23" s="18">
        <x:v>0.12</x:v>
      </x:c>
      <x:c r="C23" s="18">
        <x:v>0.10145742352891506</x:v>
      </x:c>
      <x:c r="F23" s="9">
        <x:f t="shared" si="0"/>
        <x:v>2038</x:v>
      </x:c>
    </x:row>
    <x:row r="24">
      <x:c r="A24" s="9" t="s">
        <x:v>26</x:v>
      </x:c>
      <x:c r="B24" s="18">
        <x:v>0.25</x:v>
      </x:c>
      <x:c r="C24" s="18">
        <x:v>5.3516461722248394E-2</x:v>
      </x:c>
      <x:c r="F24" s="9">
        <x:f t="shared" si="0"/>
        <x:v>2039</x:v>
      </x:c>
    </x:row>
    <x:row r="25">
      <x:c r="A25" s="9" t="s">
        <x:v>27</x:v>
      </x:c>
      <x:c r="B25" s="18">
        <x:v>0.32</x:v>
      </x:c>
      <x:c r="C25" s="18">
        <x:v>9.4380134222248405E-2</x:v>
      </x:c>
      <x:c r="F25" s="9">
        <x:f t="shared" si="0"/>
        <x:v>2040</x:v>
      </x:c>
    </x:row>
    <x:row r="26">
      <x:c r="A26" s="9" t="s">
        <x:v>28</x:v>
      </x:c>
      <x:c r="B26" s="18">
        <x:v>0.3</x:v>
      </x:c>
      <x:c r="C26" s="18">
        <x:v>6.0270465888915062E-2</x:v>
      </x:c>
      <x:c r="F26" s="9">
        <x:f t="shared" si="0"/>
        <x:v>2041</x:v>
      </x:c>
    </x:row>
    <x:row r="27">
      <x:c r="A27" s="9" t="s">
        <x:v>29</x:v>
      </x:c>
      <x:c r="B27" s="18">
        <x:v>0.19</x:v>
      </x:c>
      <x:c r="C27" s="18">
        <x:v>6.2366298555581734E-2</x:v>
      </x:c>
      <x:c r="F27" s="9">
        <x:f t="shared" si="0"/>
        <x:v>2042</x:v>
      </x:c>
    </x:row>
    <x:row r="28">
      <x:c r="A28" s="9" t="s">
        <x:v>30</x:v>
      </x:c>
      <x:c r="B28" s="18">
        <x:v>0.22500000000000001</x:v>
      </x:c>
      <x:c r="C28" s="18">
        <x:v>9.3907470055581727E-2</x:v>
      </x:c>
      <x:c r="F28" s="9">
        <x:f t="shared" si="0"/>
        <x:v>2043</x:v>
      </x:c>
    </x:row>
    <x:row r="29">
      <x:c r="A29" s="9" t="s">
        <x:v>31</x:v>
      </x:c>
      <x:c r="B29" s="18">
        <x:v>0.16</x:v>
      </x:c>
      <x:c r="C29" s="18">
        <x:v>7.3951187555581721E-2</x:v>
      </x:c>
      <x:c r="F29" s="9">
        <x:f t="shared" si="0"/>
        <x:v>2044</x:v>
      </x:c>
    </x:row>
    <x:row r="30">
      <x:c r="A30" s="9" t="s">
        <x:v>32</x:v>
      </x:c>
      <x:c r="B30" s="18">
        <x:v>0.2</x:v>
      </x:c>
      <x:c r="C30" s="18">
        <x:v>7.3235124222248399E-2</x:v>
      </x:c>
      <x:c r="F30" s="9">
        <x:f t="shared" si="0"/>
        <x:v>2045</x:v>
      </x:c>
    </x:row>
    <x:row r="31">
      <x:c r="A31" s="9" t="s">
        <x:v>33</x:v>
      </x:c>
      <x:c r="B31" s="18">
        <x:v>0.15</x:v>
      </x:c>
      <x:c r="C31" s="18">
        <x:v>8.5361703388915064E-2</x:v>
      </x:c>
      <x:c r="F31" s="9">
        <x:f t="shared" si="0"/>
        <x:v>2046</x:v>
      </x:c>
    </x:row>
    <x:row r="32">
      <x:c r="A32" s="9" t="s">
        <x:v>34</x:v>
      </x:c>
      <x:c r="B32" s="18">
        <x:v>0.17</x:v>
      </x:c>
      <x:c r="C32" s="18">
        <x:v>5.2385621722248393E-2</x:v>
      </x:c>
      <x:c r="F32" s="9">
        <x:f t="shared" si="0"/>
        <x:v>2047</x:v>
      </x:c>
    </x:row>
    <x:row r="33">
      <x:c r="A33" s="9" t="s">
        <x:v>35</x:v>
      </x:c>
      <x:c r="B33" s="18">
        <x:v>0.22</x:v>
      </x:c>
      <x:c r="C33" s="18">
        <x:v>6.0149429222248391E-2</x:v>
      </x:c>
      <x:c r="F33" s="9">
        <x:f t="shared" si="0"/>
        <x:v>2048</x:v>
      </x:c>
    </x:row>
    <x:row r="34">
      <x:c r="A34" s="9" t="s">
        <x:v>36</x:v>
      </x:c>
      <x:c r="B34" s="18">
        <x:v>0.28000000000000003</x:v>
      </x:c>
      <x:c r="C34" s="18">
        <x:v>7.130439422224838E-2</x:v>
      </x:c>
      <x:c r="F34" s="9">
        <x:f t="shared" si="0"/>
        <x:v>2049</x:v>
      </x:c>
    </x:row>
    <x:row r="35">
      <x:c r="A35" s="9" t="s">
        <x:v>37</x:v>
      </x:c>
      <x:c r="B35" s="18"/>
      <x:c r="C35" s="18"/>
      <x:c r="F35" s="9">
        <x:f t="shared" si="0"/>
        <x:v>2050</x:v>
      </x:c>
    </x:row>
    <x:row r="36">
      <x:c r="A36" s="9" t="s">
        <x:v>38</x:v>
      </x:c>
      <x:c r="B36" s="18">
        <x:v>0.2</x:v>
      </x:c>
      <x:c r="C36" s="18">
        <x:v>5.9521124622248393E-2</x:v>
      </x:c>
      <x:c r="F36" s="9">
        <x:f t="shared" si="0"/>
        <x:v>2051</x:v>
      </x:c>
    </x:row>
    <x:row r="37">
      <x:c r="A37" s="9" t="s">
        <x:v>39</x:v>
      </x:c>
      <x:c r="B37" s="18">
        <x:v>0.2</x:v>
      </x:c>
      <x:c r="C37" s="18">
        <x:v>7.4621124222248397E-2</x:v>
      </x:c>
      <x:c r="F37" s="9">
        <x:f t="shared" si="0"/>
        <x:v>2052</x:v>
      </x:c>
    </x:row>
    <x:row r="38">
      <x:c r="A38" s="9" t="s">
        <x:v>40</x:v>
      </x:c>
      <x:c r="B38" s="18">
        <x:v>0.18</x:v>
      </x:c>
      <x:c r="C38" s="18">
        <x:v>0.11474545588891508</x:v>
      </x:c>
      <x:c r="F38" s="9">
        <x:f t="shared" si="0"/>
        <x:v>2053</x:v>
      </x:c>
    </x:row>
    <x:row r="39">
      <x:c r="A39" s="9" t="s">
        <x:v>41</x:v>
      </x:c>
      <x:c r="B39" s="18">
        <x:v>0.22</x:v>
      </x:c>
      <x:c r="C39" s="18">
        <x:v>9.7343478555581731E-2</x:v>
      </x:c>
      <x:c r="F39" s="9">
        <x:f t="shared" si="0"/>
        <x:v>2054</x:v>
      </x:c>
    </x:row>
    <x:row r="40">
      <x:c r="B40" s="16"/>
      <x:c r="C40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7" tint="0.39998"/>
  </x:sheetPr>
  <x:sheetFormatPr baseColWidth="10" defaultRowHeight="12.75"/>
  <x:cols>
    <x:col min="1" max="1" width="5.5703125" customWidth="1"/>
    <x:col min="2" max="2" width="40.42578125" customWidth="1"/>
    <x:col min="3" max="3" width="21" customWidth="1"/>
    <x:col min="4" max="4" width="17" customWidth="1"/>
    <x:col min="5" max="5" width="13" customWidth="1"/>
    <x:col min="6" max="6" width="11.5703125" customWidth="1"/>
    <x:col min="7" max="7" width="10.85546875" customWidth="1"/>
    <x:col min="8" max="8" width="13.85546875" customWidth="1"/>
  </x:cols>
  <x:sheetData>
    <x:row r="1" s="1" customFormat="1" ht="12.75" customHeight="1">
      <x:c r="A1" s="312">
        <x:v>0</x:v>
      </x:c>
      <x:c r="B1" s="26" t="s">
        <x:v>42</x:v>
      </x:c>
      <x:c r="C1" s="27" t="s">
        <x:v>43</x:v>
      </x:c>
      <x:c r="D1" s="28" t="s">
        <x:v>44</x:v>
      </x:c>
      <x:c r="E1" s="29" t="n">
        <x:f>'Costs &amp; Benefits'!J31</x:f>
        <x:v>2026</x:v>
      </x:c>
      <x:c r="F1" s="29" t="n">
        <x:f>'Costs &amp; Benefits'!K31</x:f>
        <x:v>2027</x:v>
      </x:c>
      <x:c r="G1" s="29" t="n">
        <x:f>'Costs &amp; Benefits'!L31</x:f>
        <x:v>2028</x:v>
      </x:c>
      <x:c r="H1" s="29" t="n">
        <x:f>'Costs &amp; Benefits'!M31</x:f>
        <x:v>2029</x:v>
      </x:c>
      <x:c r="I1" s="29" t="n">
        <x:f>'Costs &amp; Benefits'!N31</x:f>
        <x:v>2030</x:v>
      </x:c>
      <x:c r="J1" s="29" t="n">
        <x:f>'Costs &amp; Benefits'!O31</x:f>
        <x:v>2031</x:v>
      </x:c>
      <x:c r="K1" s="29" t="n">
        <x:f>'Costs &amp; Benefits'!P31</x:f>
        <x:v>2032</x:v>
      </x:c>
      <x:c r="L1" s="29" t="n">
        <x:f>'Costs &amp; Benefits'!Q31</x:f>
        <x:v>2033</x:v>
      </x:c>
      <x:c r="M1" s="29" t="n">
        <x:f>'Costs &amp; Benefits'!R31</x:f>
        <x:v>2034</x:v>
      </x:c>
      <x:c r="N1" s="29" t="n">
        <x:f>'Costs &amp; Benefits'!S31</x:f>
        <x:v>2035</x:v>
      </x:c>
    </x:row>
    <x:row r="2" s="1" customFormat="1" ht="12.75" customHeight="1">
      <x:c r="A2" s="312">
        <x:v>1</x:v>
      </x:c>
      <x:c r="B2" s="25" t="s">
        <x:v>45</x:v>
      </x:c>
      <x:c r="C2" s="21" t="str">
        <x:f>'Costs &amp; Benefits'!H19</x:f>
        <x:v>One-Off</x:v>
      </x:c>
      <x:c r="D2" s="21" t="str">
        <x:f>'Costs &amp; Benefits'!I19</x:f>
        <x:v>Internal product, UX and architecture effort</x:v>
      </x:c>
      <x:c r="E2" s="22" t="n">
        <x:f>IF('Costs &amp; Benefits'!J19,'Costs &amp; Benefits'!J19,"")</x:f>
        <x:v>250000</x:v>
      </x:c>
      <x:c r="F2" s="22" t="str">
        <x:f>IF('Costs &amp; Benefits'!K19,'Costs &amp; Benefits'!K19,"")</x:f>
      </x:c>
      <x:c r="G2" s="22" t="str">
        <x:f>IF('Costs &amp; Benefits'!L19,'Costs &amp; Benefits'!L19,"")</x:f>
      </x:c>
      <x:c r="H2" s="22" t="str">
        <x:f>IF('Costs &amp; Benefits'!M19,'Costs &amp; Benefits'!M19,"")</x:f>
      </x:c>
      <x:c r="I2" s="22" t="str">
        <x:f>IF('Costs &amp; Benefits'!N19,'Costs &amp; Benefits'!N19,"")</x:f>
      </x:c>
      <x:c r="J2" s="22" t="str">
        <x:f>IF('Costs &amp; Benefits'!O19,'Costs &amp; Benefits'!O19,"")</x:f>
      </x:c>
      <x:c r="K2" s="22" t="str">
        <x:f>IF('Costs &amp; Benefits'!P19,'Costs &amp; Benefits'!P19,"")</x:f>
      </x:c>
      <x:c r="L2" s="22" t="str">
        <x:f>IF('Costs &amp; Benefits'!Q19,'Costs &amp; Benefits'!Q19,"")</x:f>
      </x:c>
      <x:c r="M2" s="22" t="str">
        <x:f>IF('Costs &amp; Benefits'!R19,'Costs &amp; Benefits'!R19,"")</x:f>
      </x:c>
      <x:c r="N2" s="22" t="str">
        <x:f>IF('Costs &amp; Benefits'!S19,'Costs &amp; Benefits'!S19,"")</x:f>
      </x:c>
    </x:row>
    <x:row r="3" s="1" customFormat="1" ht="12.75" customHeight="1">
      <x:c r="A3" s="312">
        <x:v>2</x:v>
      </x:c>
      <x:c r="B3" s="276" t="s">
        <x:v>46</x:v>
      </x:c>
      <x:c r="C3" s="21" t="str">
        <x:f>'Costs &amp; Benefits'!H20</x:f>
        <x:v>One-Off</x:v>
      </x:c>
      <x:c r="D3" s="21" t="str">
        <x:f>'Costs &amp; Benefits'!I20</x:f>
        <x:v>External mobile app development and system integration</x:v>
      </x:c>
      <x:c r="E3" s="22" t="n">
        <x:f>IF('Costs &amp; Benefits'!J20,'Costs &amp; Benefits'!J20,"")</x:f>
        <x:v>400000</x:v>
      </x:c>
      <x:c r="F3" s="22" t="str">
        <x:f>IF('Costs &amp; Benefits'!K20,'Costs &amp; Benefits'!K20,"")</x:f>
      </x:c>
      <x:c r="G3" s="22" t="str">
        <x:f>IF('Costs &amp; Benefits'!L20,'Costs &amp; Benefits'!L20,"")</x:f>
      </x:c>
      <x:c r="H3" s="22" t="str">
        <x:f>IF('Costs &amp; Benefits'!M20,'Costs &amp; Benefits'!M20,"")</x:f>
      </x:c>
      <x:c r="I3" s="22" t="str">
        <x:f>IF('Costs &amp; Benefits'!N20,'Costs &amp; Benefits'!N20,"")</x:f>
      </x:c>
      <x:c r="J3" s="22" t="str">
        <x:f>IF('Costs &amp; Benefits'!O20,'Costs &amp; Benefits'!O20,"")</x:f>
      </x:c>
      <x:c r="K3" s="22" t="str">
        <x:f>IF('Costs &amp; Benefits'!P20,'Costs &amp; Benefits'!P20,"")</x:f>
      </x:c>
      <x:c r="L3" s="22" t="str">
        <x:f>IF('Costs &amp; Benefits'!Q20,'Costs &amp; Benefits'!Q20,"")</x:f>
      </x:c>
      <x:c r="M3" s="22" t="str">
        <x:f>IF('Costs &amp; Benefits'!R20,'Costs &amp; Benefits'!R20,"")</x:f>
      </x:c>
      <x:c r="N3" s="22" t="str">
        <x:f>IF('Costs &amp; Benefits'!S20,'Costs &amp; Benefits'!S20,"")</x:f>
      </x:c>
    </x:row>
    <x:row r="4" s="1" customFormat="1" ht="12.75" customHeight="1">
      <x:c r="A4" s="312">
        <x:v>3</x:v>
      </x:c>
      <x:c r="B4" s="25" t="s">
        <x:v>47</x:v>
      </x:c>
      <x:c r="C4" s="21" t="str">
        <x:f>'Costs &amp; Benefits'!H22</x:f>
        <x:v>One-Off</x:v>
      </x:c>
      <x:c r="D4" s="21" t="str">
        <x:f>'Costs &amp; Benefits'!I22</x:f>
        <x:v>Software licences / analytics tooling</x:v>
      </x:c>
      <x:c r="E4" s="22" t="n">
        <x:f>IF('Costs &amp; Benefits'!J22,'Costs &amp; Benefits'!J22,"")</x:f>
        <x:v>50000</x:v>
      </x:c>
      <x:c r="F4" s="22" t="str">
        <x:f>IF('Costs &amp; Benefits'!K22,'Costs &amp; Benefits'!K22,"")</x:f>
      </x:c>
      <x:c r="G4" s="22" t="str">
        <x:f>IF('Costs &amp; Benefits'!L22,'Costs &amp; Benefits'!L22,"")</x:f>
      </x:c>
      <x:c r="H4" s="22" t="str">
        <x:f>IF('Costs &amp; Benefits'!M22,'Costs &amp; Benefits'!M22,"")</x:f>
      </x:c>
      <x:c r="I4" s="22" t="str">
        <x:f>IF('Costs &amp; Benefits'!N22,'Costs &amp; Benefits'!N22,"")</x:f>
      </x:c>
      <x:c r="J4" s="22" t="str">
        <x:f>IF('Costs &amp; Benefits'!O22,'Costs &amp; Benefits'!O22,"")</x:f>
      </x:c>
      <x:c r="K4" s="22" t="str">
        <x:f>IF('Costs &amp; Benefits'!P22,'Costs &amp; Benefits'!P22,"")</x:f>
      </x:c>
      <x:c r="L4" s="22" t="str">
        <x:f>IF('Costs &amp; Benefits'!Q22,'Costs &amp; Benefits'!Q22,"")</x:f>
      </x:c>
      <x:c r="M4" s="22" t="str">
        <x:f>IF('Costs &amp; Benefits'!R22,'Costs &amp; Benefits'!R22,"")</x:f>
      </x:c>
      <x:c r="N4" s="22" t="str">
        <x:f>IF('Costs &amp; Benefits'!S22,'Costs &amp; Benefits'!S22,"")</x:f>
      </x:c>
    </x:row>
    <x:row r="5" s="1" customFormat="1" ht="12.75" customHeight="1">
      <x:c r="A5" s="312">
        <x:v>4</x:v>
      </x:c>
      <x:c r="B5" s="25" t="s">
        <x:v>48</x:v>
      </x:c>
      <x:c r="C5" s="21" t="str">
        <x:f>'Costs &amp; Benefits'!H24</x:f>
        <x:v>One-Off</x:v>
      </x:c>
      <x:c r="D5" s="21" t="str">
        <x:f>'Costs &amp; Benefits'!I24</x:f>
        <x:v>Local rollout infrastructure and devices</x:v>
      </x:c>
      <x:c r="E5" s="22" t="n">
        <x:f>IF('Costs &amp; Benefits'!J24,'Costs &amp; Benefits'!J24,"")</x:f>
        <x:v>100000</x:v>
      </x:c>
      <x:c r="F5" s="22" t="str">
        <x:f>IF('Costs &amp; Benefits'!K24,'Costs &amp; Benefits'!K24,"")</x:f>
      </x:c>
      <x:c r="G5" s="22" t="str">
        <x:f>IF('Costs &amp; Benefits'!L24,'Costs &amp; Benefits'!L24,"")</x:f>
      </x:c>
      <x:c r="H5" s="22" t="str">
        <x:f>IF('Costs &amp; Benefits'!M24,'Costs &amp; Benefits'!M24,"")</x:f>
      </x:c>
      <x:c r="I5" s="22" t="str">
        <x:f>IF('Costs &amp; Benefits'!N24,'Costs &amp; Benefits'!N24,"")</x:f>
      </x:c>
      <x:c r="J5" s="22" t="str">
        <x:f>IF('Costs &amp; Benefits'!O24,'Costs &amp; Benefits'!O24,"")</x:f>
      </x:c>
      <x:c r="K5" s="22" t="str">
        <x:f>IF('Costs &amp; Benefits'!P24,'Costs &amp; Benefits'!P24,"")</x:f>
      </x:c>
      <x:c r="L5" s="22" t="str">
        <x:f>IF('Costs &amp; Benefits'!Q24,'Costs &amp; Benefits'!Q24,"")</x:f>
      </x:c>
      <x:c r="M5" s="22" t="str">
        <x:f>IF('Costs &amp; Benefits'!R24,'Costs &amp; Benefits'!R24,"")</x:f>
      </x:c>
      <x:c r="N5" s="22" t="str">
        <x:f>IF('Costs &amp; Benefits'!S24,'Costs &amp; Benefits'!S24,"")</x:f>
      </x:c>
    </x:row>
    <x:row r="6" s="1" customFormat="1" ht="12.75" customHeight="1">
      <x:c r="A6" s="312">
        <x:v>5</x:v>
      </x:c>
      <x:c r="B6" s="25" t="s">
        <x:v>49</x:v>
      </x:c>
      <x:c r="C6" s="21" t="str">
        <x:f>'Costs &amp; Benefits'!H34</x:f>
        <x:v>One-Off</x:v>
      </x:c>
      <x:c r="D6" s="21" t="str">
        <x:f>'Costs &amp; Benefits'!I34</x:f>
        <x:v>Internal rollout, testing and change effort</x:v>
      </x:c>
      <x:c r="E6" s="22" t="n">
        <x:f>IF('Costs &amp; Benefits'!J34,'Costs &amp; Benefits'!J34,"")</x:f>
        <x:v>50000</x:v>
      </x:c>
      <x:c r="F6" s="22" t="str">
        <x:f>IF('Costs &amp; Benefits'!K34,'Costs &amp; Benefits'!K34,"")</x:f>
      </x:c>
      <x:c r="G6" s="22" t="str">
        <x:f>IF('Costs &amp; Benefits'!L34,'Costs &amp; Benefits'!L34,"")</x:f>
      </x:c>
      <x:c r="H6" s="22" t="str">
        <x:f>IF('Costs &amp; Benefits'!M34,'Costs &amp; Benefits'!M34,"")</x:f>
      </x:c>
      <x:c r="I6" s="22" t="str">
        <x:f>IF('Costs &amp; Benefits'!N34,'Costs &amp; Benefits'!N34,"")</x:f>
      </x:c>
      <x:c r="J6" s="22" t="str">
        <x:f>IF('Costs &amp; Benefits'!O34,'Costs &amp; Benefits'!O34,"")</x:f>
      </x:c>
      <x:c r="K6" s="22" t="str">
        <x:f>IF('Costs &amp; Benefits'!P34,'Costs &amp; Benefits'!P34,"")</x:f>
      </x:c>
      <x:c r="L6" s="22" t="str">
        <x:f>IF('Costs &amp; Benefits'!Q34,'Costs &amp; Benefits'!Q34,"")</x:f>
      </x:c>
      <x:c r="M6" s="22" t="str">
        <x:f>IF('Costs &amp; Benefits'!R34,'Costs &amp; Benefits'!R34,"")</x:f>
      </x:c>
      <x:c r="N6" s="22" t="str">
        <x:f>IF('Costs &amp; Benefits'!S34,'Costs &amp; Benefits'!S34,"")</x:f>
      </x:c>
    </x:row>
    <x:row r="7" s="1" customFormat="1" ht="12.75" customHeight="1">
      <x:c r="A7" s="312">
        <x:v>6</x:v>
      </x:c>
      <x:c r="B7" s="25" t="s">
        <x:v>50</x:v>
      </x:c>
      <x:c r="C7" s="21" t="str">
        <x:f>'Costs &amp; Benefits'!H35</x:f>
        <x:v>One-Off</x:v>
      </x:c>
      <x:c r="D7" s="21" t="str">
        <x:f>'Costs &amp; Benefits'!I35</x:f>
        <x:v>External localisation, testing and launch support</x:v>
      </x:c>
      <x:c r="E7" s="22" t="n">
        <x:f>IF('Costs &amp; Benefits'!J35,'Costs &amp; Benefits'!J35,"")</x:f>
        <x:v>50000</x:v>
      </x:c>
      <x:c r="F7" s="22" t="str">
        <x:f>IF('Costs &amp; Benefits'!K35,'Costs &amp; Benefits'!K35,"")</x:f>
      </x:c>
      <x:c r="G7" s="22" t="str">
        <x:f>IF('Costs &amp; Benefits'!L35,'Costs &amp; Benefits'!L35,"")</x:f>
      </x:c>
      <x:c r="H7" s="22" t="str">
        <x:f>IF('Costs &amp; Benefits'!M35,'Costs &amp; Benefits'!M35,"")</x:f>
      </x:c>
      <x:c r="I7" s="22" t="str">
        <x:f>IF('Costs &amp; Benefits'!N35,'Costs &amp; Benefits'!N35,"")</x:f>
      </x:c>
      <x:c r="J7" s="22" t="str">
        <x:f>IF('Costs &amp; Benefits'!O35,'Costs &amp; Benefits'!O35,"")</x:f>
      </x:c>
      <x:c r="K7" s="22" t="str">
        <x:f>IF('Costs &amp; Benefits'!P35,'Costs &amp; Benefits'!P35,"")</x:f>
      </x:c>
      <x:c r="L7" s="22" t="str">
        <x:f>IF('Costs &amp; Benefits'!Q35,'Costs &amp; Benefits'!Q35,"")</x:f>
      </x:c>
      <x:c r="M7" s="22" t="str">
        <x:f>IF('Costs &amp; Benefits'!R35,'Costs &amp; Benefits'!R35,"")</x:f>
      </x:c>
      <x:c r="N7" s="22" t="str">
        <x:f>IF('Costs &amp; Benefits'!S35,'Costs &amp; Benefits'!S35,"")</x:f>
      </x:c>
    </x:row>
    <x:row r="8" s="1" customFormat="1" ht="12.75" customHeight="1">
      <x:c r="A8" s="312">
        <x:v>7</x:v>
      </x:c>
      <x:c r="B8" s="25" t="s">
        <x:v>51</x:v>
      </x:c>
      <x:c r="C8" s="21" t="str">
        <x:f>'Costs &amp; Benefits'!H37</x:f>
        <x:v>Recurrent</x:v>
      </x:c>
      <x:c r="D8" s="21" t="str">
        <x:f>'Costs &amp; Benefits'!I37</x:f>
        <x:v>Internal product support and operations</x:v>
      </x:c>
      <x:c r="E8" s="22" t="str">
        <x:f>IF('Costs &amp; Benefits'!J37,'Costs &amp; Benefits'!J37,"")</x:f>
      </x:c>
      <x:c r="F8" s="22" t="n">
        <x:f>IF('Costs &amp; Benefits'!K37,'Costs &amp; Benefits'!K37,"")</x:f>
        <x:v>25000</x:v>
      </x:c>
      <x:c r="G8" s="22" t="n">
        <x:f>IF('Costs &amp; Benefits'!L37,'Costs &amp; Benefits'!L37,"")</x:f>
        <x:v>25000</x:v>
      </x:c>
      <x:c r="H8" s="22" t="n">
        <x:f>IF('Costs &amp; Benefits'!M37,'Costs &amp; Benefits'!M37,"")</x:f>
        <x:v>25000</x:v>
      </x:c>
      <x:c r="I8" s="22" t="n">
        <x:f>IF('Costs &amp; Benefits'!N37,'Costs &amp; Benefits'!N37,"")</x:f>
        <x:v>25000</x:v>
      </x:c>
      <x:c r="J8" s="22" t="n">
        <x:f>IF('Costs &amp; Benefits'!O37,'Costs &amp; Benefits'!O37,"")</x:f>
        <x:v>25000</x:v>
      </x:c>
      <x:c r="K8" s="22" t="n">
        <x:f>IF('Costs &amp; Benefits'!P37,'Costs &amp; Benefits'!P37,"")</x:f>
        <x:v>25000</x:v>
      </x:c>
      <x:c r="L8" s="22" t="n">
        <x:f>IF('Costs &amp; Benefits'!Q37,'Costs &amp; Benefits'!Q37,"")</x:f>
        <x:v>25000</x:v>
      </x:c>
      <x:c r="M8" s="22" t="n">
        <x:f>IF('Costs &amp; Benefits'!R37,'Costs &amp; Benefits'!R37,"")</x:f>
        <x:v>25000</x:v>
      </x:c>
      <x:c r="N8" s="22" t="n">
        <x:f>IF('Costs &amp; Benefits'!S37,'Costs &amp; Benefits'!S37,"")</x:f>
        <x:v>25000</x:v>
      </x:c>
    </x:row>
    <x:row r="9" s="1" customFormat="1" ht="12.75" customHeight="1">
      <x:c r="A9" s="312">
        <x:v>8</x:v>
      </x:c>
      <x:c r="B9" s="25" t="s">
        <x:v>52</x:v>
      </x:c>
      <x:c r="C9" s="21" t="str">
        <x:f>'Costs &amp; Benefits'!H39</x:f>
        <x:v>Recurrent</x:v>
      </x:c>
      <x:c r="D9" s="21" t="str">
        <x:f>'Costs &amp; Benefits'!I39</x:f>
        <x:v>SaaS for push communication and customer analytics</x:v>
      </x:c>
      <x:c r="E9" s="22" t="str">
        <x:f>IF('Costs &amp; Benefits'!J39,'Costs &amp; Benefits'!J39,"")</x:f>
      </x:c>
      <x:c r="F9" s="22" t="n">
        <x:f>IF('Costs &amp; Benefits'!K39,'Costs &amp; Benefits'!K39,"")</x:f>
        <x:v>30000</x:v>
      </x:c>
      <x:c r="G9" s="22" t="n">
        <x:f>IF('Costs &amp; Benefits'!L39,'Costs &amp; Benefits'!L39,"")</x:f>
        <x:v>30000</x:v>
      </x:c>
      <x:c r="H9" s="22" t="n">
        <x:f>IF('Costs &amp; Benefits'!M39,'Costs &amp; Benefits'!M39,"")</x:f>
        <x:v>30000</x:v>
      </x:c>
      <x:c r="I9" s="22" t="n">
        <x:f>IF('Costs &amp; Benefits'!N39,'Costs &amp; Benefits'!N39,"")</x:f>
        <x:v>30000</x:v>
      </x:c>
      <x:c r="J9" s="22" t="n">
        <x:f>IF('Costs &amp; Benefits'!O39,'Costs &amp; Benefits'!O39,"")</x:f>
        <x:v>30000</x:v>
      </x:c>
      <x:c r="K9" s="22" t="n">
        <x:f>IF('Costs &amp; Benefits'!P39,'Costs &amp; Benefits'!P39,"")</x:f>
        <x:v>30000</x:v>
      </x:c>
      <x:c r="L9" s="22" t="n">
        <x:f>IF('Costs &amp; Benefits'!Q39,'Costs &amp; Benefits'!Q39,"")</x:f>
        <x:v>30000</x:v>
      </x:c>
      <x:c r="M9" s="22" t="n">
        <x:f>IF('Costs &amp; Benefits'!R39,'Costs &amp; Benefits'!R39,"")</x:f>
        <x:v>30000</x:v>
      </x:c>
      <x:c r="N9" s="22" t="n">
        <x:f>IF('Costs &amp; Benefits'!S39,'Costs &amp; Benefits'!S39,"")</x:f>
        <x:v>30000</x:v>
      </x:c>
    </x:row>
    <x:row r="10" s="208" customFormat="1" ht="12.75" customHeight="1">
      <x:c r="A10" s="334">
        <x:v>9</x:v>
      </x:c>
      <x:c r="B10" s="25" t="s">
        <x:v>53</x:v>
      </x:c>
      <x:c r="C10" s="333" t="str">
        <x:f>'Costs &amp; Benefits'!H41</x:f>
        <x:v>Recurrent</x:v>
      </x:c>
      <x:c r="D10" s="21" t="str">
        <x:f>'Costs &amp; Benefits'!I41</x:f>
        <x:v>External maintenance for mobile components</x:v>
      </x:c>
      <x:c r="E10" s="22" t="str">
        <x:f>IF('Costs &amp; Benefits'!J41,'Costs &amp; Benefits'!J41,"")</x:f>
      </x:c>
      <x:c r="F10" s="22" t="n">
        <x:f>IF('Costs &amp; Benefits'!K41,'Costs &amp; Benefits'!K41,"")</x:f>
        <x:v>20000</x:v>
      </x:c>
      <x:c r="G10" s="22" t="n">
        <x:f>IF('Costs &amp; Benefits'!L41,'Costs &amp; Benefits'!L41,"")</x:f>
        <x:v>20000</x:v>
      </x:c>
      <x:c r="H10" s="22" t="n">
        <x:f>IF('Costs &amp; Benefits'!M41,'Costs &amp; Benefits'!M41,"")</x:f>
        <x:v>20000</x:v>
      </x:c>
      <x:c r="I10" s="22" t="n">
        <x:f>IF('Costs &amp; Benefits'!N41,'Costs &amp; Benefits'!N41,"")</x:f>
        <x:v>20000</x:v>
      </x:c>
      <x:c r="J10" s="22" t="n">
        <x:f>IF('Costs &amp; Benefits'!O41,'Costs &amp; Benefits'!O41,"")</x:f>
        <x:v>20000</x:v>
      </x:c>
      <x:c r="K10" s="22" t="n">
        <x:f>IF('Costs &amp; Benefits'!P41,'Costs &amp; Benefits'!P41,"")</x:f>
        <x:v>20000</x:v>
      </x:c>
      <x:c r="L10" s="22" t="n">
        <x:f>IF('Costs &amp; Benefits'!Q41,'Costs &amp; Benefits'!Q41,"")</x:f>
        <x:v>20000</x:v>
      </x:c>
      <x:c r="M10" s="22" t="n">
        <x:f>IF('Costs &amp; Benefits'!R41,'Costs &amp; Benefits'!R41,"")</x:f>
        <x:v>20000</x:v>
      </x:c>
      <x:c r="N10" s="22" t="n">
        <x:f>IF('Costs &amp; Benefits'!S41,'Costs &amp; Benefits'!S41,"")</x:f>
        <x:v>20000</x:v>
      </x:c>
    </x:row>
    <x:row r="11" s="1" customFormat="1" ht="12.75" customHeight="1">
      <x:c r="A11" s="312">
        <x:v>10</x:v>
      </x:c>
      <x:c r="B11" s="25" t="s">
        <x:v>54</x:v>
      </x:c>
      <x:c r="C11" s="21" t="str">
        <x:f>'Costs &amp; Benefits'!H43</x:f>
        <x:v>Recurrent</x:v>
      </x:c>
      <x:c r="D11" s="21" t="n">
        <x:f>'Costs &amp; Benefits'!I43</x:f>
        <x:v>0</x:v>
      </x:c>
      <x:c r="E11" s="22" t="str">
        <x:f>IF('Costs &amp; Benefits'!J43,'Costs &amp; Benefits'!J43,"")</x:f>
      </x:c>
      <x:c r="F11" s="22" t="str">
        <x:f>IF('Costs &amp; Benefits'!K43,'Costs &amp; Benefits'!K43,"")</x:f>
      </x:c>
      <x:c r="G11" s="22" t="str">
        <x:f>IF('Costs &amp; Benefits'!L43,'Costs &amp; Benefits'!L43,"")</x:f>
      </x:c>
      <x:c r="H11" s="22" t="str">
        <x:f>IF('Costs &amp; Benefits'!M43,'Costs &amp; Benefits'!M43,"")</x:f>
      </x:c>
      <x:c r="I11" s="22" t="str">
        <x:f>IF('Costs &amp; Benefits'!N43,'Costs &amp; Benefits'!N43,"")</x:f>
      </x:c>
      <x:c r="J11" s="22" t="str">
        <x:f>IF('Costs &amp; Benefits'!O43,'Costs &amp; Benefits'!O43,"")</x:f>
      </x:c>
      <x:c r="K11" s="22" t="str">
        <x:f>IF('Costs &amp; Benefits'!P43,'Costs &amp; Benefits'!P43,"")</x:f>
      </x:c>
      <x:c r="L11" s="22" t="str">
        <x:f>IF('Costs &amp; Benefits'!Q43,'Costs &amp; Benefits'!Q43,"")</x:f>
      </x:c>
      <x:c r="M11" s="22" t="str">
        <x:f>IF('Costs &amp; Benefits'!R43,'Costs &amp; Benefits'!R43,"")</x:f>
      </x:c>
      <x:c r="N11" s="22" t="str">
        <x:f>IF('Costs &amp; Benefits'!S43,'Costs &amp; Benefits'!S43,"")</x:f>
      </x:c>
    </x:row>
    <x:row r="12" s="1" customFormat="1" ht="12.75" customHeight="1">
      <x:c r="A12" s="312">
        <x:v>11</x:v>
      </x:c>
      <x:c r="B12" s="25" t="s">
        <x:v>55</x:v>
      </x:c>
      <x:c r="C12" s="21" t="str">
        <x:f>'Costs &amp; Benefits'!H45</x:f>
        <x:v>Recurrent</x:v>
      </x:c>
      <x:c r="D12" s="21" t="n">
        <x:f>'Costs &amp; Benefits'!I45</x:f>
        <x:v>0</x:v>
      </x:c>
      <x:c r="E12" s="22" t="str">
        <x:f>IF('Costs &amp; Benefits'!J45,'Costs &amp; Benefits'!J45,"")</x:f>
      </x:c>
      <x:c r="F12" s="22" t="str">
        <x:f>IF('Costs &amp; Benefits'!K45,'Costs &amp; Benefits'!K45,"")</x:f>
      </x:c>
      <x:c r="G12" s="22" t="str">
        <x:f>IF('Costs &amp; Benefits'!L45,'Costs &amp; Benefits'!L45,"")</x:f>
      </x:c>
      <x:c r="H12" s="22" t="str">
        <x:f>IF('Costs &amp; Benefits'!M45,'Costs &amp; Benefits'!M45,"")</x:f>
      </x:c>
      <x:c r="I12" s="22" t="str">
        <x:f>IF('Costs &amp; Benefits'!N45,'Costs &amp; Benefits'!N45,"")</x:f>
      </x:c>
      <x:c r="J12" s="22" t="str">
        <x:f>IF('Costs &amp; Benefits'!O45,'Costs &amp; Benefits'!O45,"")</x:f>
      </x:c>
      <x:c r="K12" s="22" t="str">
        <x:f>IF('Costs &amp; Benefits'!P45,'Costs &amp; Benefits'!P45,"")</x:f>
      </x:c>
      <x:c r="L12" s="22" t="str">
        <x:f>IF('Costs &amp; Benefits'!Q45,'Costs &amp; Benefits'!Q45,"")</x:f>
      </x:c>
      <x:c r="M12" s="22" t="str">
        <x:f>IF('Costs &amp; Benefits'!R45,'Costs &amp; Benefits'!R45,"")</x:f>
      </x:c>
      <x:c r="N12" s="22" t="str">
        <x:f>IF('Costs &amp; Benefits'!S45,'Costs &amp; Benefits'!S45,"")</x:f>
      </x:c>
    </x:row>
    <x:row r="13" s="1" customFormat="1" ht="12.75" customHeight="1">
      <x:c r="A13" s="312">
        <x:v>12</x:v>
      </x:c>
      <x:c r="B13" s="25" t="s">
        <x:v>56</x:v>
      </x:c>
      <x:c r="C13" s="21" t="str">
        <x:f>'Costs &amp; Benefits'!H47</x:f>
        <x:v>One-Off</x:v>
      </x:c>
      <x:c r="D13" s="21" t="n">
        <x:f>'Costs &amp; Benefits'!I47</x:f>
        <x:v>0</x:v>
      </x:c>
      <x:c r="E13" s="22" t="str">
        <x:f>IF('Costs &amp; Benefits'!J47,'Costs &amp; Benefits'!J47,"")</x:f>
      </x:c>
      <x:c r="F13" s="22" t="str">
        <x:f>IF('Costs &amp; Benefits'!K47,'Costs &amp; Benefits'!K47,"")</x:f>
      </x:c>
      <x:c r="G13" s="22" t="str">
        <x:f>IF('Costs &amp; Benefits'!L47,'Costs &amp; Benefits'!L47,"")</x:f>
      </x:c>
      <x:c r="H13" s="22" t="str">
        <x:f>IF('Costs &amp; Benefits'!M47,'Costs &amp; Benefits'!M47,"")</x:f>
      </x:c>
      <x:c r="I13" s="22" t="str">
        <x:f>IF('Costs &amp; Benefits'!N47,'Costs &amp; Benefits'!N47,"")</x:f>
      </x:c>
      <x:c r="J13" s="22" t="str">
        <x:f>IF('Costs &amp; Benefits'!O47,'Costs &amp; Benefits'!O47,"")</x:f>
      </x:c>
      <x:c r="K13" s="22" t="str">
        <x:f>IF('Costs &amp; Benefits'!P47,'Costs &amp; Benefits'!P47,"")</x:f>
      </x:c>
      <x:c r="L13" s="22" t="str">
        <x:f>IF('Costs &amp; Benefits'!Q47,'Costs &amp; Benefits'!Q47,"")</x:f>
      </x:c>
      <x:c r="M13" s="22" t="str">
        <x:f>IF('Costs &amp; Benefits'!R47,'Costs &amp; Benefits'!R47,"")</x:f>
      </x:c>
      <x:c r="N13" s="22" t="str">
        <x:f>IF('Costs &amp; Benefits'!S47,'Costs &amp; Benefits'!S47,"")</x:f>
      </x:c>
    </x:row>
    <x:row r="14" s="1" customFormat="1" ht="12.75" customHeight="1">
      <x:c r="A14" s="312">
        <x:v>13</x:v>
      </x:c>
      <x:c r="B14" s="25" t="s">
        <x:v>57</x:v>
      </x:c>
      <x:c r="C14" s="21" t="str">
        <x:f>'Costs &amp; Benefits'!H48</x:f>
        <x:v>Recurrent</x:v>
      </x:c>
      <x:c r="D14" s="21" t="n">
        <x:f>'Costs &amp; Benefits'!I48</x:f>
        <x:v>0</x:v>
      </x:c>
      <x:c r="E14" s="22" t="str">
        <x:f>IF('Costs &amp; Benefits'!J48,'Costs &amp; Benefits'!J48,"")</x:f>
      </x:c>
      <x:c r="F14" s="22" t="str">
        <x:f>IF('Costs &amp; Benefits'!K48,'Costs &amp; Benefits'!K48,"")</x:f>
      </x:c>
      <x:c r="G14" s="22" t="str">
        <x:f>IF('Costs &amp; Benefits'!L48,'Costs &amp; Benefits'!L48,"")</x:f>
      </x:c>
      <x:c r="H14" s="22" t="str">
        <x:f>IF('Costs &amp; Benefits'!M48,'Costs &amp; Benefits'!M48,"")</x:f>
      </x:c>
      <x:c r="I14" s="22" t="str">
        <x:f>IF('Costs &amp; Benefits'!N48,'Costs &amp; Benefits'!N48,"")</x:f>
      </x:c>
      <x:c r="J14" s="22" t="str">
        <x:f>IF('Costs &amp; Benefits'!O48,'Costs &amp; Benefits'!O48,"")</x:f>
      </x:c>
      <x:c r="K14" s="22" t="str">
        <x:f>IF('Costs &amp; Benefits'!P48,'Costs &amp; Benefits'!P48,"")</x:f>
      </x:c>
      <x:c r="L14" s="22" t="str">
        <x:f>IF('Costs &amp; Benefits'!Q48,'Costs &amp; Benefits'!Q48,"")</x:f>
      </x:c>
      <x:c r="M14" s="22" t="str">
        <x:f>IF('Costs &amp; Benefits'!R48,'Costs &amp; Benefits'!R48,"")</x:f>
      </x:c>
      <x:c r="N14" s="22" t="str">
        <x:f>IF('Costs &amp; Benefits'!S48,'Costs &amp; Benefits'!S48,"")</x:f>
      </x:c>
    </x:row>
    <x:row r="15" s="1" customFormat="1" ht="12.75" customHeight="1">
      <x:c r="A15" s="312">
        <x:v>14</x:v>
      </x:c>
      <x:c r="B15" s="25" t="s">
        <x:v>58</x:v>
      </x:c>
      <x:c r="C15" s="23"/>
      <x:c r="D15" s="388" t="str">
        <x:f>'Costs &amp; Benefits'!I94</x:f>
        <x:v>Incremental sales from higher shopping frequency</x:v>
      </x:c>
      <x:c r="E15" s="22" t="str">
        <x:f>IF('Costs &amp; Benefits'!J94,'Costs &amp; Benefits'!J94,"")</x:f>
      </x:c>
      <x:c r="F15" s="22" t="n">
        <x:f>IF('Costs &amp; Benefits'!K94,'Costs &amp; Benefits'!K94,"")</x:f>
        <x:v>150000</x:v>
      </x:c>
      <x:c r="G15" s="22" t="n">
        <x:f>IF('Costs &amp; Benefits'!L94,'Costs &amp; Benefits'!L94,"")</x:f>
        <x:v>300000</x:v>
      </x:c>
      <x:c r="H15" s="22" t="n">
        <x:f>IF('Costs &amp; Benefits'!M94,'Costs &amp; Benefits'!M94,"")</x:f>
        <x:v>300000</x:v>
      </x:c>
      <x:c r="I15" s="22" t="n">
        <x:f>IF('Costs &amp; Benefits'!N94,'Costs &amp; Benefits'!N94,"")</x:f>
        <x:v>300000</x:v>
      </x:c>
      <x:c r="J15" s="22" t="n">
        <x:f>IF('Costs &amp; Benefits'!O94,'Costs &amp; Benefits'!O94,"")</x:f>
        <x:v>300000</x:v>
      </x:c>
      <x:c r="K15" s="22" t="n">
        <x:f>IF('Costs &amp; Benefits'!P94,'Costs &amp; Benefits'!P94,"")</x:f>
        <x:v>300000</x:v>
      </x:c>
      <x:c r="L15" s="22" t="n">
        <x:f>IF('Costs &amp; Benefits'!Q94,'Costs &amp; Benefits'!Q94,"")</x:f>
        <x:v>300000</x:v>
      </x:c>
      <x:c r="M15" s="22" t="n">
        <x:f>IF('Costs &amp; Benefits'!R94,'Costs &amp; Benefits'!R94,"")</x:f>
        <x:v>300000</x:v>
      </x:c>
      <x:c r="N15" s="22" t="n">
        <x:f>IF('Costs &amp; Benefits'!S94,'Costs &amp; Benefits'!S94,"")</x:f>
        <x:v>300000</x:v>
      </x:c>
    </x:row>
    <x:row r="16" s="1" customFormat="1" ht="12.75" customHeight="1">
      <x:c r="A16" s="312">
        <x:v>15</x:v>
      </x:c>
      <x:c r="B16" s="25" t="s">
        <x:v>58</x:v>
      </x:c>
      <x:c r="C16" s="23"/>
      <x:c r="D16" s="388" t="str">
        <x:f>'Costs &amp; Benefits'!I95</x:f>
        <x:v>Incremental sales from personalised customer communication</x:v>
      </x:c>
      <x:c r="E16" s="22" t="str">
        <x:f>IF('Costs &amp; Benefits'!J95,'Costs &amp; Benefits'!J95,"")</x:f>
      </x:c>
      <x:c r="F16" s="22" t="n">
        <x:f>IF('Costs &amp; Benefits'!K95,'Costs &amp; Benefits'!K95,"")</x:f>
        <x:v>100000</x:v>
      </x:c>
      <x:c r="G16" s="22" t="n">
        <x:f>IF('Costs &amp; Benefits'!L95,'Costs &amp; Benefits'!L95,"")</x:f>
        <x:v>150000</x:v>
      </x:c>
      <x:c r="H16" s="22" t="n">
        <x:f>IF('Costs &amp; Benefits'!M95,'Costs &amp; Benefits'!M95,"")</x:f>
        <x:v>150000</x:v>
      </x:c>
      <x:c r="I16" s="22" t="n">
        <x:f>IF('Costs &amp; Benefits'!N95,'Costs &amp; Benefits'!N95,"")</x:f>
        <x:v>150000</x:v>
      </x:c>
      <x:c r="J16" s="22" t="n">
        <x:f>IF('Costs &amp; Benefits'!O95,'Costs &amp; Benefits'!O95,"")</x:f>
        <x:v>150000</x:v>
      </x:c>
      <x:c r="K16" s="22" t="n">
        <x:f>IF('Costs &amp; Benefits'!P95,'Costs &amp; Benefits'!P95,"")</x:f>
        <x:v>150000</x:v>
      </x:c>
      <x:c r="L16" s="22" t="n">
        <x:f>IF('Costs &amp; Benefits'!Q95,'Costs &amp; Benefits'!Q95,"")</x:f>
        <x:v>150000</x:v>
      </x:c>
      <x:c r="M16" s="22" t="n">
        <x:f>IF('Costs &amp; Benefits'!R95,'Costs &amp; Benefits'!R95,"")</x:f>
        <x:v>150000</x:v>
      </x:c>
      <x:c r="N16" s="22" t="n">
        <x:f>IF('Costs &amp; Benefits'!S95,'Costs &amp; Benefits'!S95,"")</x:f>
        <x:v>150000</x:v>
      </x:c>
    </x:row>
    <x:row r="17" s="1" customFormat="1" ht="12.75" customHeight="1">
      <x:c r="A17" s="312">
        <x:v>16</x:v>
      </x:c>
      <x:c r="B17" s="25" t="s">
        <x:v>58</x:v>
      </x:c>
      <x:c r="C17" s="23"/>
      <x:c r="D17" s="388" t="n">
        <x:f>'Costs &amp; Benefits'!I96</x:f>
        <x:v>0</x:v>
      </x:c>
      <x:c r="E17" s="22" t="str">
        <x:f>IF('Costs &amp; Benefits'!J96,'Costs &amp; Benefits'!J96,"")</x:f>
      </x:c>
      <x:c r="F17" s="22" t="str">
        <x:f>IF('Costs &amp; Benefits'!K96,'Costs &amp; Benefits'!K96,"")</x:f>
      </x:c>
      <x:c r="G17" s="22" t="str">
        <x:f>IF('Costs &amp; Benefits'!L96,'Costs &amp; Benefits'!L96,"")</x:f>
      </x:c>
      <x:c r="H17" s="22" t="str">
        <x:f>IF('Costs &amp; Benefits'!M96,'Costs &amp; Benefits'!M96,"")</x:f>
      </x:c>
      <x:c r="I17" s="22" t="str">
        <x:f>IF('Costs &amp; Benefits'!N96,'Costs &amp; Benefits'!N96,"")</x:f>
      </x:c>
      <x:c r="J17" s="22" t="str">
        <x:f>IF('Costs &amp; Benefits'!O96,'Costs &amp; Benefits'!O96,"")</x:f>
      </x:c>
      <x:c r="K17" s="22" t="str">
        <x:f>IF('Costs &amp; Benefits'!P96,'Costs &amp; Benefits'!P96,"")</x:f>
      </x:c>
      <x:c r="L17" s="22" t="str">
        <x:f>IF('Costs &amp; Benefits'!Q96,'Costs &amp; Benefits'!Q96,"")</x:f>
      </x:c>
      <x:c r="M17" s="22" t="str">
        <x:f>IF('Costs &amp; Benefits'!R96,'Costs &amp; Benefits'!R96,"")</x:f>
      </x:c>
      <x:c r="N17" s="22" t="str">
        <x:f>IF('Costs &amp; Benefits'!S96,'Costs &amp; Benefits'!S96,"")</x:f>
      </x:c>
    </x:row>
    <x:row r="18" s="1" customFormat="1" ht="12.75" customHeight="1">
      <x:c r="A18" s="312">
        <x:v>17</x:v>
      </x:c>
      <x:c r="B18" s="25" t="s">
        <x:v>58</x:v>
      </x:c>
      <x:c r="C18" s="23"/>
      <x:c r="D18" s="388" t="n">
        <x:f>'Costs &amp; Benefits'!I97</x:f>
        <x:v>0</x:v>
      </x:c>
      <x:c r="E18" s="22" t="str">
        <x:f>IF('Costs &amp; Benefits'!J97,'Costs &amp; Benefits'!J97,"")</x:f>
      </x:c>
      <x:c r="F18" s="22" t="str">
        <x:f>IF('Costs &amp; Benefits'!K97,'Costs &amp; Benefits'!K97,"")</x:f>
      </x:c>
      <x:c r="G18" s="22" t="str">
        <x:f>IF('Costs &amp; Benefits'!L97,'Costs &amp; Benefits'!L97,"")</x:f>
      </x:c>
      <x:c r="H18" s="22" t="str">
        <x:f>IF('Costs &amp; Benefits'!M97,'Costs &amp; Benefits'!M97,"")</x:f>
      </x:c>
      <x:c r="I18" s="22" t="str">
        <x:f>IF('Costs &amp; Benefits'!N97,'Costs &amp; Benefits'!N97,"")</x:f>
      </x:c>
      <x:c r="J18" s="22" t="str">
        <x:f>IF('Costs &amp; Benefits'!O97,'Costs &amp; Benefits'!O97,"")</x:f>
      </x:c>
      <x:c r="K18" s="22" t="str">
        <x:f>IF('Costs &amp; Benefits'!P97,'Costs &amp; Benefits'!P97,"")</x:f>
      </x:c>
      <x:c r="L18" s="22" t="str">
        <x:f>IF('Costs &amp; Benefits'!Q97,'Costs &amp; Benefits'!Q97,"")</x:f>
      </x:c>
      <x:c r="M18" s="22" t="str">
        <x:f>IF('Costs &amp; Benefits'!R97,'Costs &amp; Benefits'!R97,"")</x:f>
      </x:c>
      <x:c r="N18" s="22" t="str">
        <x:f>IF('Costs &amp; Benefits'!S97,'Costs &amp; Benefits'!S97,"")</x:f>
      </x:c>
    </x:row>
    <x:row r="19" s="1" customFormat="1" ht="12.75" customHeight="1">
      <x:c r="A19" s="312">
        <x:v>18</x:v>
      </x:c>
      <x:c r="B19" s="25" t="s">
        <x:v>58</x:v>
      </x:c>
      <x:c r="C19" s="24"/>
      <x:c r="D19" s="388" t="n">
        <x:f>'Costs &amp; Benefits'!I98</x:f>
        <x:v>0</x:v>
      </x:c>
      <x:c r="E19" s="22" t="str">
        <x:f>IF('Costs &amp; Benefits'!J98,'Costs &amp; Benefits'!J98,"")</x:f>
      </x:c>
      <x:c r="F19" s="22" t="str">
        <x:f>IF('Costs &amp; Benefits'!K98,'Costs &amp; Benefits'!K98,"")</x:f>
      </x:c>
      <x:c r="G19" s="22" t="str">
        <x:f>IF('Costs &amp; Benefits'!L98,'Costs &amp; Benefits'!L98,"")</x:f>
      </x:c>
      <x:c r="H19" s="22" t="str">
        <x:f>IF('Costs &amp; Benefits'!M98,'Costs &amp; Benefits'!M98,"")</x:f>
      </x:c>
      <x:c r="I19" s="22" t="str">
        <x:f>IF('Costs &amp; Benefits'!N98,'Costs &amp; Benefits'!N98,"")</x:f>
      </x:c>
      <x:c r="J19" s="22" t="str">
        <x:f>IF('Costs &amp; Benefits'!O98,'Costs &amp; Benefits'!O98,"")</x:f>
      </x:c>
      <x:c r="K19" s="22" t="str">
        <x:f>IF('Costs &amp; Benefits'!P98,'Costs &amp; Benefits'!P98,"")</x:f>
      </x:c>
      <x:c r="L19" s="22" t="str">
        <x:f>IF('Costs &amp; Benefits'!Q98,'Costs &amp; Benefits'!Q98,"")</x:f>
      </x:c>
      <x:c r="M19" s="22" t="str">
        <x:f>IF('Costs &amp; Benefits'!R98,'Costs &amp; Benefits'!R98,"")</x:f>
      </x:c>
      <x:c r="N19" s="22" t="str">
        <x:f>IF('Costs &amp; Benefits'!S98,'Costs &amp; Benefits'!S98,"")</x:f>
      </x:c>
    </x:row>
    <x:row r="20" s="1" customFormat="1" ht="12.75" customHeight="1">
      <x:c r="A20" s="312">
        <x:v>19</x:v>
      </x:c>
      <x:c r="B20" s="25" t="s">
        <x:v>58</x:v>
      </x:c>
      <x:c r="C20" s="24"/>
      <x:c r="D20" s="388" t="n">
        <x:f>'Costs &amp; Benefits'!I99</x:f>
        <x:v>0</x:v>
      </x:c>
      <x:c r="E20" s="22" t="str">
        <x:f>IF('Costs &amp; Benefits'!J99,'Costs &amp; Benefits'!J99,"")</x:f>
      </x:c>
      <x:c r="F20" s="22" t="str">
        <x:f>IF('Costs &amp; Benefits'!K99,'Costs &amp; Benefits'!K99,"")</x:f>
      </x:c>
      <x:c r="G20" s="22" t="str">
        <x:f>IF('Costs &amp; Benefits'!L99,'Costs &amp; Benefits'!L99,"")</x:f>
      </x:c>
      <x:c r="H20" s="22" t="str">
        <x:f>IF('Costs &amp; Benefits'!M99,'Costs &amp; Benefits'!M99,"")</x:f>
      </x:c>
      <x:c r="I20" s="22" t="str">
        <x:f>IF('Costs &amp; Benefits'!N99,'Costs &amp; Benefits'!N99,"")</x:f>
      </x:c>
      <x:c r="J20" s="22" t="str">
        <x:f>IF('Costs &amp; Benefits'!O99,'Costs &amp; Benefits'!O99,"")</x:f>
      </x:c>
      <x:c r="K20" s="22" t="str">
        <x:f>IF('Costs &amp; Benefits'!P99,'Costs &amp; Benefits'!P99,"")</x:f>
      </x:c>
      <x:c r="L20" s="22" t="str">
        <x:f>IF('Costs &amp; Benefits'!Q99,'Costs &amp; Benefits'!Q99,"")</x:f>
      </x:c>
      <x:c r="M20" s="22" t="str">
        <x:f>IF('Costs &amp; Benefits'!R99,'Costs &amp; Benefits'!R99,"")</x:f>
      </x:c>
      <x:c r="N20" s="22" t="str">
        <x:f>IF('Costs &amp; Benefits'!S99,'Costs &amp; Benefits'!S99,"")</x:f>
      </x:c>
    </x:row>
    <x:row r="21" s="1" customFormat="1" ht="12.75" customHeight="1">
      <x:c r="A21" s="312">
        <x:v>20</x:v>
      </x:c>
      <x:c r="B21" s="25" t="s">
        <x:v>59</x:v>
      </x:c>
      <x:c r="C21" s="24"/>
      <x:c r="D21" s="388" t="str">
        <x:f>'Costs &amp; Benefits'!I106</x:f>
        <x:v>Reduced checkout and customer-service handling effort</x:v>
      </x:c>
      <x:c r="E21" s="22" t="str">
        <x:f>IF('Costs &amp; Benefits'!J106,'Costs &amp; Benefits'!J106,"")</x:f>
      </x:c>
      <x:c r="F21" s="22" t="n">
        <x:f>IF('Costs &amp; Benefits'!K106,'Costs &amp; Benefits'!K106,"")</x:f>
        <x:v>100000</x:v>
      </x:c>
      <x:c r="G21" s="22" t="n">
        <x:f>IF('Costs &amp; Benefits'!L106,'Costs &amp; Benefits'!L106,"")</x:f>
        <x:v>100000</x:v>
      </x:c>
      <x:c r="H21" s="22" t="n">
        <x:f>IF('Costs &amp; Benefits'!M106,'Costs &amp; Benefits'!M106,"")</x:f>
        <x:v>100000</x:v>
      </x:c>
      <x:c r="I21" s="22" t="n">
        <x:f>IF('Costs &amp; Benefits'!N106,'Costs &amp; Benefits'!N106,"")</x:f>
        <x:v>100000</x:v>
      </x:c>
      <x:c r="J21" s="22" t="n">
        <x:f>IF('Costs &amp; Benefits'!O106,'Costs &amp; Benefits'!O106,"")</x:f>
        <x:v>100000</x:v>
      </x:c>
      <x:c r="K21" s="22" t="n">
        <x:f>IF('Costs &amp; Benefits'!P106,'Costs &amp; Benefits'!P106,"")</x:f>
        <x:v>100000</x:v>
      </x:c>
      <x:c r="L21" s="22" t="n">
        <x:f>IF('Costs &amp; Benefits'!Q106,'Costs &amp; Benefits'!Q106,"")</x:f>
        <x:v>100000</x:v>
      </x:c>
      <x:c r="M21" s="22" t="n">
        <x:f>IF('Costs &amp; Benefits'!R106,'Costs &amp; Benefits'!R106,"")</x:f>
        <x:v>100000</x:v>
      </x:c>
      <x:c r="N21" s="22" t="n">
        <x:f>IF('Costs &amp; Benefits'!S106,'Costs &amp; Benefits'!S106,"")</x:f>
        <x:v>100000</x:v>
      </x:c>
    </x:row>
    <x:row r="22" s="1" customFormat="1" ht="12.75" customHeight="1">
      <x:c r="A22" s="312">
        <x:v>21</x:v>
      </x:c>
      <x:c r="B22" s="25" t="s">
        <x:v>59</x:v>
      </x:c>
      <x:c r="C22" s="24"/>
      <x:c r="D22" s="388" t="str">
        <x:f>'Costs &amp; Benefits'!I107</x:f>
        <x:v>Reduced invoice printing and paper handling</x:v>
      </x:c>
      <x:c r="E22" s="22" t="str">
        <x:f>IF('Costs &amp; Benefits'!J107,'Costs &amp; Benefits'!J107,"")</x:f>
      </x:c>
      <x:c r="F22" s="22" t="n">
        <x:f>IF('Costs &amp; Benefits'!K107,'Costs &amp; Benefits'!K107,"")</x:f>
        <x:v>80000</x:v>
      </x:c>
      <x:c r="G22" s="22" t="n">
        <x:f>IF('Costs &amp; Benefits'!L107,'Costs &amp; Benefits'!L107,"")</x:f>
        <x:v>80000</x:v>
      </x:c>
      <x:c r="H22" s="22" t="n">
        <x:f>IF('Costs &amp; Benefits'!M107,'Costs &amp; Benefits'!M107,"")</x:f>
        <x:v>80000</x:v>
      </x:c>
      <x:c r="I22" s="22" t="n">
        <x:f>IF('Costs &amp; Benefits'!N107,'Costs &amp; Benefits'!N107,"")</x:f>
        <x:v>80000</x:v>
      </x:c>
      <x:c r="J22" s="22" t="n">
        <x:f>IF('Costs &amp; Benefits'!O107,'Costs &amp; Benefits'!O107,"")</x:f>
        <x:v>80000</x:v>
      </x:c>
      <x:c r="K22" s="22" t="n">
        <x:f>IF('Costs &amp; Benefits'!P107,'Costs &amp; Benefits'!P107,"")</x:f>
        <x:v>80000</x:v>
      </x:c>
      <x:c r="L22" s="22" t="n">
        <x:f>IF('Costs &amp; Benefits'!Q107,'Costs &amp; Benefits'!Q107,"")</x:f>
        <x:v>80000</x:v>
      </x:c>
      <x:c r="M22" s="22" t="n">
        <x:f>IF('Costs &amp; Benefits'!R107,'Costs &amp; Benefits'!R107,"")</x:f>
        <x:v>80000</x:v>
      </x:c>
      <x:c r="N22" s="22" t="n">
        <x:f>IF('Costs &amp; Benefits'!S107,'Costs &amp; Benefits'!S107,"")</x:f>
        <x:v>80000</x:v>
      </x:c>
    </x:row>
    <x:row r="23" s="1" customFormat="1" ht="12.75" customHeight="1">
      <x:c r="A23" s="312">
        <x:v>22</x:v>
      </x:c>
      <x:c r="B23" s="25" t="s">
        <x:v>59</x:v>
      </x:c>
      <x:c r="C23" s="24"/>
      <x:c r="D23" s="388" t="str">
        <x:f>'Costs &amp; Benefits'!I108</x:f>
        <x:v>Efficiency from digital shopping-list preparation and self-service</x:v>
      </x:c>
      <x:c r="E23" s="22" t="str">
        <x:f>IF('Costs &amp; Benefits'!J108,'Costs &amp; Benefits'!J108,"")</x:f>
      </x:c>
      <x:c r="F23" s="22" t="n">
        <x:f>IF('Costs &amp; Benefits'!K108,'Costs &amp; Benefits'!K108,"")</x:f>
        <x:v>100000</x:v>
      </x:c>
      <x:c r="G23" s="22" t="n">
        <x:f>IF('Costs &amp; Benefits'!L108,'Costs &amp; Benefits'!L108,"")</x:f>
        <x:v>100000</x:v>
      </x:c>
      <x:c r="H23" s="22" t="n">
        <x:f>IF('Costs &amp; Benefits'!M108,'Costs &amp; Benefits'!M108,"")</x:f>
        <x:v>100000</x:v>
      </x:c>
      <x:c r="I23" s="22" t="n">
        <x:f>IF('Costs &amp; Benefits'!N108,'Costs &amp; Benefits'!N108,"")</x:f>
        <x:v>100000</x:v>
      </x:c>
      <x:c r="J23" s="22" t="n">
        <x:f>IF('Costs &amp; Benefits'!O108,'Costs &amp; Benefits'!O108,"")</x:f>
        <x:v>100000</x:v>
      </x:c>
      <x:c r="K23" s="22" t="n">
        <x:f>IF('Costs &amp; Benefits'!P108,'Costs &amp; Benefits'!P108,"")</x:f>
        <x:v>100000</x:v>
      </x:c>
      <x:c r="L23" s="22" t="n">
        <x:f>IF('Costs &amp; Benefits'!Q108,'Costs &amp; Benefits'!Q108,"")</x:f>
        <x:v>100000</x:v>
      </x:c>
      <x:c r="M23" s="22" t="n">
        <x:f>IF('Costs &amp; Benefits'!R108,'Costs &amp; Benefits'!R108,"")</x:f>
        <x:v>100000</x:v>
      </x:c>
      <x:c r="N23" s="22" t="n">
        <x:f>IF('Costs &amp; Benefits'!S108,'Costs &amp; Benefits'!S108,"")</x:f>
        <x:v>100000</x:v>
      </x:c>
    </x:row>
    <x:row r="24" s="1" customFormat="1" ht="12.75" customHeight="1">
      <x:c r="A24" s="312">
        <x:v>23</x:v>
      </x:c>
      <x:c r="B24" s="25" t="s">
        <x:v>59</x:v>
      </x:c>
      <x:c r="C24" s="24"/>
      <x:c r="D24" s="388" t="n">
        <x:f>'Costs &amp; Benefits'!I109</x:f>
        <x:v>0</x:v>
      </x:c>
      <x:c r="E24" s="22" t="str">
        <x:f>IF('Costs &amp; Benefits'!J109,'Costs &amp; Benefits'!J109,"")</x:f>
      </x:c>
      <x:c r="F24" s="22" t="str">
        <x:f>IF('Costs &amp; Benefits'!K109,'Costs &amp; Benefits'!K109,"")</x:f>
      </x:c>
      <x:c r="G24" s="22" t="str">
        <x:f>IF('Costs &amp; Benefits'!L109,'Costs &amp; Benefits'!L109,"")</x:f>
      </x:c>
      <x:c r="H24" s="22" t="str">
        <x:f>IF('Costs &amp; Benefits'!M109,'Costs &amp; Benefits'!M109,"")</x:f>
      </x:c>
      <x:c r="I24" s="22" t="str">
        <x:f>IF('Costs &amp; Benefits'!N109,'Costs &amp; Benefits'!N109,"")</x:f>
      </x:c>
      <x:c r="J24" s="22" t="str">
        <x:f>IF('Costs &amp; Benefits'!O109,'Costs &amp; Benefits'!O109,"")</x:f>
      </x:c>
      <x:c r="K24" s="22" t="str">
        <x:f>IF('Costs &amp; Benefits'!P109,'Costs &amp; Benefits'!P109,"")</x:f>
      </x:c>
      <x:c r="L24" s="22" t="str">
        <x:f>IF('Costs &amp; Benefits'!Q109,'Costs &amp; Benefits'!Q109,"")</x:f>
      </x:c>
      <x:c r="M24" s="22" t="str">
        <x:f>IF('Costs &amp; Benefits'!R109,'Costs &amp; Benefits'!R109,"")</x:f>
      </x:c>
      <x:c r="N24" s="22" t="str">
        <x:f>IF('Costs &amp; Benefits'!S109,'Costs &amp; Benefits'!S109,"")</x:f>
      </x:c>
    </x:row>
    <x:row r="25" s="1" customFormat="1" ht="12.75" customHeight="1">
      <x:c r="A25" s="312">
        <x:v>24</x:v>
      </x:c>
      <x:c r="B25" s="25" t="s">
        <x:v>59</x:v>
      </x:c>
      <x:c r="C25" s="24"/>
      <x:c r="D25" s="388" t="n">
        <x:f>'Costs &amp; Benefits'!I110</x:f>
        <x:v>0</x:v>
      </x:c>
      <x:c r="E25" s="22" t="str">
        <x:f>IF('Costs &amp; Benefits'!J110,'Costs &amp; Benefits'!J110,"")</x:f>
      </x:c>
      <x:c r="F25" s="22" t="str">
        <x:f>IF('Costs &amp; Benefits'!K110,'Costs &amp; Benefits'!K110,"")</x:f>
      </x:c>
      <x:c r="G25" s="22" t="str">
        <x:f>IF('Costs &amp; Benefits'!L110,'Costs &amp; Benefits'!L110,"")</x:f>
      </x:c>
      <x:c r="H25" s="22" t="str">
        <x:f>IF('Costs &amp; Benefits'!M110,'Costs &amp; Benefits'!M110,"")</x:f>
      </x:c>
      <x:c r="I25" s="22" t="str">
        <x:f>IF('Costs &amp; Benefits'!N110,'Costs &amp; Benefits'!N110,"")</x:f>
      </x:c>
      <x:c r="J25" s="22" t="str">
        <x:f>IF('Costs &amp; Benefits'!O110,'Costs &amp; Benefits'!O110,"")</x:f>
      </x:c>
      <x:c r="K25" s="22" t="str">
        <x:f>IF('Costs &amp; Benefits'!P110,'Costs &amp; Benefits'!P110,"")</x:f>
      </x:c>
      <x:c r="L25" s="22" t="str">
        <x:f>IF('Costs &amp; Benefits'!Q110,'Costs &amp; Benefits'!Q110,"")</x:f>
      </x:c>
      <x:c r="M25" s="22" t="str">
        <x:f>IF('Costs &amp; Benefits'!R110,'Costs &amp; Benefits'!R110,"")</x:f>
      </x:c>
      <x:c r="N25" s="22" t="str">
        <x:f>IF('Costs &amp; Benefits'!S110,'Costs &amp; Benefits'!S110,"")</x:f>
      </x:c>
    </x:row>
    <x:row r="26" s="1" customFormat="1" ht="12.75" customHeight="1">
      <x:c r="A26" s="312">
        <x:v>25</x:v>
      </x:c>
      <x:c r="B26" s="25" t="s">
        <x:v>59</x:v>
      </x:c>
      <x:c r="C26" s="24"/>
      <x:c r="D26" s="388" t="n">
        <x:f>'Costs &amp; Benefits'!I111</x:f>
        <x:v>0</x:v>
      </x:c>
      <x:c r="E26" s="22" t="str">
        <x:f>IF('Costs &amp; Benefits'!J111,'Costs &amp; Benefits'!J111,"")</x:f>
      </x:c>
      <x:c r="F26" s="22" t="str">
        <x:f>IF('Costs &amp; Benefits'!K111,'Costs &amp; Benefits'!K111,"")</x:f>
      </x:c>
      <x:c r="G26" s="22" t="str">
        <x:f>IF('Costs &amp; Benefits'!L111,'Costs &amp; Benefits'!L111,"")</x:f>
      </x:c>
      <x:c r="H26" s="22" t="str">
        <x:f>IF('Costs &amp; Benefits'!M111,'Costs &amp; Benefits'!M111,"")</x:f>
      </x:c>
      <x:c r="I26" s="22" t="str">
        <x:f>IF('Costs &amp; Benefits'!N111,'Costs &amp; Benefits'!N111,"")</x:f>
      </x:c>
      <x:c r="J26" s="22" t="str">
        <x:f>IF('Costs &amp; Benefits'!O111,'Costs &amp; Benefits'!O111,"")</x:f>
      </x:c>
      <x:c r="K26" s="22" t="str">
        <x:f>IF('Costs &amp; Benefits'!P111,'Costs &amp; Benefits'!P111,"")</x:f>
      </x:c>
      <x:c r="L26" s="22" t="str">
        <x:f>IF('Costs &amp; Benefits'!Q111,'Costs &amp; Benefits'!Q111,"")</x:f>
      </x:c>
      <x:c r="M26" s="22" t="str">
        <x:f>IF('Costs &amp; Benefits'!R111,'Costs &amp; Benefits'!R111,"")</x:f>
      </x:c>
      <x:c r="N26" s="22" t="str">
        <x:f>IF('Costs &amp; Benefits'!S111,'Costs &amp; Benefits'!S111,"")</x:f>
      </x:c>
    </x:row>
    <x:row r="27" s="1" customFormat="1" ht="12.75" customHeight="1">
      <x:c r="A27" s="312">
        <x:v>26</x:v>
      </x:c>
      <x:c r="B27" s="25" t="s">
        <x:v>60</x:v>
      </x:c>
      <x:c r="C27" s="32"/>
      <x:c r="D27" s="21" t="str">
        <x:f>'Costs &amp; Benefits'!G117</x:f>
        <x:v>Higher customer satisfaction and loyalty; consistent mobile touchpoint; scalable personalised communication channel; better digital customer insight.</x:v>
      </x:c>
      <x:c r="E27" s="31"/>
      <x:c r="F27" s="31"/>
      <x:c r="G27" s="31"/>
      <x:c r="H27" s="31"/>
      <x:c r="I27" s="31"/>
      <x:c r="J27" s="31"/>
      <x:c r="K27" s="31"/>
      <x:c r="L27" s="31"/>
      <x:c r="M27" s="31"/>
      <x:c r="N27" s="291"/>
    </x:row>
    <x:row r="28">
      <x:c r="A28" s="312">
        <x:v>27</x:v>
      </x:c>
      <x:c r="B28" s="30" t="s">
        <x:v>61</x:v>
      </x:c>
      <x:c r="C28" s="32"/>
      <x:c r="D28" s="32"/>
      <x:c r="E28" s="22" t="n">
        <x:f>IF(Summary!I32,Summary!I32,"")</x:f>
        <x:v>-115000</x:v>
      </x:c>
      <x:c r="F28" s="22" t="n">
        <x:f>IF(Summary!J32,Summary!J32,"")</x:f>
        <x:v>360000</x:v>
      </x:c>
      <x:c r="G28" s="22" t="n">
        <x:f>IF(Summary!K32,Summary!K32,"")</x:f>
        <x:v>515864.4</x:v>
      </x:c>
      <x:c r="H28" s="22" t="n">
        <x:f>IF(Summary!L32,Summary!L32,"")</x:f>
        <x:v>645864.4</x:v>
      </x:c>
      <x:c r="I28" s="22" t="n">
        <x:f>IF(Summary!M32,Summary!M32,"")</x:f>
        <x:v>505864.4</x:v>
      </x:c>
      <x:c r="J28" s="22" t="n">
        <x:f>IF(Summary!N32,Summary!N32,"")</x:f>
        <x:v>510432.19999999995</x:v>
      </x:c>
      <x:c r="K28" s="22" t="n">
        <x:f>IF(Summary!O32,Summary!O32,"")</x:f>
        <x:v>515000</x:v>
      </x:c>
      <x:c r="L28" s="22" t="n">
        <x:f>IF(Summary!P32,Summary!P32,"")</x:f>
        <x:v>585000</x:v>
      </x:c>
      <x:c r="M28" s="22" t="n">
        <x:f>IF(Summary!Q32,Summary!Q32,"")</x:f>
        <x:v>655000</x:v>
      </x:c>
      <x:c r="N28" s="22" t="n">
        <x:f>IF(Summary!R32,Summary!R32,"")</x:f>
        <x:v>655000</x:v>
      </x:c>
    </x:row>
    <x:row r="29">
      <x:c r="A29" s="312">
        <x:v>28</x:v>
      </x:c>
      <x:c r="B29" s="30" t="s">
        <x:v>62</x:v>
      </x:c>
      <x:c r="C29" s="32"/>
      <x:c r="D29" s="32"/>
      <x:c r="E29" s="22" t="n">
        <x:f>IF(Summary!I41,Summary!I41,"")</x:f>
        <x:v>-91864.60739268476</x:v>
      </x:c>
      <x:c r="F29" s="22" t="n">
        <x:f>IF(Summary!J41,Summary!J41,"")</x:f>
        <x:v>118822.2290210331</x:v>
      </x:c>
      <x:c r="G29" s="22" t="n">
        <x:f>IF(Summary!K41,Summary!K41,"")</x:f>
        <x:v>430663.4488746514</x:v>
      </x:c>
      <x:c r="H29" s="22" t="n">
        <x:f>IF(Summary!L41,Summary!L41,"")</x:f>
        <x:v>828321.5154568189</x:v>
      </x:c>
      <x:c r="I29" s="22" t="n">
        <x:f>IF(Summary!M41,Summary!M41,"")</x:f>
        <x:v>1106739.8835012685</x:v>
      </x:c>
      <x:c r="J29" s="22" t="n">
        <x:f>IF(Summary!N41,Summary!N41,"")</x:f>
        <x:v>1378718.9265652692</x:v>
      </x:c>
      <x:c r="K29" s="22" t="n">
        <x:f>IF(Summary!O41,Summary!O41,"")</x:f>
        <x:v>1643937.161096801</x:v>
      </x:c>
      <x:c r="L29" s="22" t="n">
        <x:f>IF(Summary!P41,Summary!P41,"")</x:f>
        <x:v>1931772.1765649496</x:v>
      </x:c>
      <x:c r="M29" s="22" t="n">
        <x:f>IF(Summary!Q41,Summary!Q41,"")</x:f>
        <x:v>2236351.5778110055</x:v>
      </x:c>
      <x:c r="N29" s="22" t="n">
        <x:f>IF(Summary!R41,Summary!R41,"")</x:f>
        <x:v>2524205.398359764</x:v>
      </x:c>
    </x:row>
    <x:row r="30">
      <x:c r="A30" s="312">
        <x:v>29</x:v>
      </x:c>
      <x:c r="B30" s="30" t="s">
        <x:v>63</x:v>
      </x:c>
      <x:c r="C30" s="32"/>
      <x:c r="D30" s="297" t="n">
        <x:f>Summary!I53</x:f>
        <x:v>3.155256747949705</x:v>
      </x:c>
      <x:c r="E30" s="292"/>
      <x:c r="F30" s="292"/>
      <x:c r="G30" s="292"/>
      <x:c r="H30" s="292"/>
      <x:c r="I30" s="292"/>
      <x:c r="J30" s="292"/>
      <x:c r="K30" s="292"/>
      <x:c r="L30" s="292"/>
      <x:c r="M30" s="292"/>
      <x:c r="N30" s="292"/>
    </x:row>
    <x:row r="31">
      <x:c r="A31" s="312">
        <x:v>30</x:v>
      </x:c>
      <x:c r="B31" s="293" t="s">
        <x:v>64</x:v>
      </x:c>
      <x:c r="C31" s="32"/>
      <x:c r="D31" s="316" t="n">
        <x:f>'Costs &amp; Benefits'!I141</x:f>
        <x:v>20.061232419634077</x:v>
      </x:c>
      <x:c r="E31" s="292"/>
      <x:c r="F31" s="292"/>
      <x:c r="G31" s="292"/>
      <x:c r="H31" s="292"/>
      <x:c r="I31" s="292"/>
      <x:c r="J31" s="292"/>
      <x:c r="K31" s="292"/>
      <x:c r="L31" s="292"/>
      <x:c r="M31" s="292"/>
      <x:c r="N31" s="292"/>
    </x:row>
    <x:row r="32">
      <x:c r="A32" s="312">
        <x:v>31</x:v>
      </x:c>
      <x:c r="B32" s="293" t="s">
        <x:v>65</x:v>
      </x:c>
      <x:c r="C32" s="32"/>
      <x:c r="D32" s="332" t="str">
        <x:f>Summary!J9</x:f>
        <x:v>BC-2026-0387.3</x:v>
      </x:c>
      <x:c r="E32" s="292"/>
      <x:c r="F32" s="292"/>
      <x:c r="G32" s="292"/>
      <x:c r="H32" s="292"/>
      <x:c r="I32" s="292"/>
      <x:c r="J32" s="292"/>
      <x:c r="K32" s="292"/>
      <x:c r="L32" s="292"/>
      <x:c r="M32" s="292"/>
      <x:c r="N32" s="292"/>
    </x:row>
    <x:row r="33">
      <x:c r="A33" s="312">
        <x:v>32</x:v>
      </x:c>
      <x:c r="B33" s="293" t="s">
        <x:v>66</x:v>
      </x:c>
      <x:c r="C33" s="24"/>
      <x:c r="D33" s="311" t="n">
        <x:f>Summary!O10</x:f>
        <x:v>2026</x:v>
      </x:c>
      <x:c r="E33" s="292"/>
      <x:c r="F33" s="292"/>
      <x:c r="G33" s="292"/>
      <x:c r="H33" s="292"/>
      <x:c r="I33" s="292"/>
      <x:c r="J33" s="292"/>
      <x:c r="K33" s="292"/>
      <x:c r="L33" s="292"/>
      <x:c r="M33" s="292"/>
      <x:c r="N33" s="292"/>
    </x:row>
    <x:row r="37">
      <x:c r="M37" s="33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2D050"/>
  </x:sheetPr>
  <x:sheetFormatPr baseColWidth="10" defaultColWidth="11.42578125" defaultRowHeight="12.75"/>
  <x:cols>
    <x:col min="1" max="1" width="3.140625" style="193" customWidth="1"/>
    <x:col min="2" max="2" width="2.85546875" style="193" customWidth="1"/>
    <x:col min="3" max="3" width="2.7109375" style="193" customWidth="1"/>
    <x:col min="4" max="4" width="2.140625" style="193" customWidth="1"/>
    <x:col min="5" max="5" width="2.85546875" style="193" customWidth="1"/>
    <x:col min="6" max="6" width="13.7109375" style="193" customWidth="1"/>
    <x:col min="7" max="7" width="14.140625" style="193" customWidth="1"/>
    <x:col min="8" max="18" width="13.7109375" style="193" customWidth="1"/>
    <x:col min="19" max="19" width="12.42578125" style="193" customWidth="1"/>
    <x:col min="20" max="20" width="7.28515625" style="193" customWidth="1"/>
    <x:col min="21" max="21" width="6.28515625" style="193" customWidth="1"/>
    <x:col min="22" max="16384" width="11.42578125" style="193" customWidth="0"/>
  </x:cols>
  <x:sheetData>
    <x:row r="1" s="33" customFormat="1" ht="18" customHeight="1">
      <x:c r="A1" s="57"/>
      <x:c r="B1" s="57"/>
      <x:c r="C1" s="57"/>
      <x:c r="D1" s="57"/>
      <x:c r="E1" s="57"/>
      <x:c r="F1" s="348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</x:row>
    <x:row r="2" s="33" customFormat="1" ht="16.5" customHeight="1">
      <x:c r="A2" s="57"/>
      <x:c r="B2" s="57"/>
      <x:c r="C2" s="57"/>
      <x:c r="D2" s="57"/>
      <x:c r="E2" s="57"/>
      <x:c r="F2" s="348"/>
      <x:c r="G2" s="268" t="str">
        <x:v>IT Business Case 2026 (fictional example)</x:v>
      </x:c>
      <x:c r="H2" s="57"/>
      <x:c r="I2" s="57"/>
      <x:c r="J2" s="338" t="str">
        <x:f>J10</x:f>
        <x:v>M:COMPANION | Becoming a Daily Shopping Companion</x:v>
      </x:c>
      <x:c r="K2" s="338"/>
      <x:c r="L2" s="338"/>
      <x:c r="M2" s="338"/>
      <x:c r="N2" s="338"/>
      <x:c r="O2" s="57"/>
      <x:c r="P2" s="57"/>
      <x:c r="Q2" s="57"/>
      <x:c r="R2" s="57"/>
      <x:c r="S2" s="57"/>
      <x:c r="T2" s="349" t="s">
        <x:v>67</x:v>
      </x:c>
      <x:c r="U2" s="57"/>
    </x:row>
    <x:row r="3" s="33" customFormat="1" ht="17.25" customHeight="1">
      <x:c r="A3" s="57"/>
      <x:c r="B3" s="57"/>
      <x:c r="C3" s="57"/>
      <x:c r="D3" s="57"/>
      <x:c r="E3" s="267"/>
      <x:c r="F3" s="348"/>
      <x:c r="G3" s="269" t="s">
        <x:v>68</x:v>
      </x:c>
      <x:c r="H3" s="57"/>
      <x:c r="I3" s="57"/>
      <x:c r="J3" s="338"/>
      <x:c r="K3" s="338"/>
      <x:c r="L3" s="338"/>
      <x:c r="M3" s="338"/>
      <x:c r="N3" s="338"/>
      <x:c r="O3" s="57"/>
      <x:c r="P3" s="57"/>
      <x:c r="Q3" s="57"/>
      <x:c r="R3" s="57"/>
      <x:c r="S3" s="57"/>
      <x:c r="T3" s="350"/>
      <x:c r="U3" s="57"/>
    </x:row>
    <x:row r="4" s="33" customFormat="1" ht="15.75" customHeight="1">
      <x:c r="A4" s="57"/>
      <x:c r="B4" s="57"/>
      <x:c r="C4" s="57"/>
      <x:c r="D4" s="57"/>
      <x:c r="E4" s="57"/>
      <x:c r="F4" s="348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</x:row>
    <x:row r="5" ht="12.75" customHeight="1">
      <x:c r="A5" s="204"/>
      <x:c r="B5" s="59"/>
      <x:c r="C5" s="59"/>
      <x:c r="D5" s="59"/>
      <x:c r="E5" s="59"/>
      <x:c r="F5" s="59"/>
      <x:c r="G5" s="59"/>
      <x:c r="H5" s="59"/>
      <x:c r="I5" s="59"/>
      <x:c r="J5" s="59"/>
      <x:c r="K5" s="59"/>
      <x:c r="L5" s="60"/>
      <x:c r="M5" s="60"/>
      <x:c r="N5" s="60"/>
      <x:c r="O5" s="60"/>
      <x:c r="P5" s="60"/>
      <x:c r="Q5" s="60"/>
      <x:c r="R5" s="59"/>
      <x:c r="S5" s="59"/>
      <x:c r="T5" s="59"/>
      <x:c r="U5" s="204"/>
    </x:row>
    <x:row r="6" ht="12.75" customHeight="1">
      <x:c r="A6" s="204"/>
      <x:c r="B6" s="59"/>
      <x:c r="C6" s="59"/>
      <x:c r="D6" s="59"/>
      <x:c r="E6" s="59"/>
      <x:c r="F6" s="59"/>
      <x:c r="G6" s="59"/>
      <x:c r="H6" s="194"/>
      <x:c r="I6" s="194"/>
      <x:c r="J6" s="194"/>
      <x:c r="K6" s="194"/>
      <x:c r="L6" s="194"/>
      <x:c r="M6" s="194"/>
      <x:c r="N6" s="194"/>
      <x:c r="O6" s="194"/>
      <x:c r="P6" s="194"/>
      <x:c r="Q6" s="194"/>
      <x:c r="R6" s="34"/>
      <x:c r="S6" s="59"/>
      <x:c r="T6" s="59"/>
      <x:c r="U6" s="204"/>
    </x:row>
    <x:row r="7" ht="12.75" customHeight="1">
      <x:c r="A7" s="204"/>
      <x:c r="B7" s="59"/>
      <x:c r="C7" s="59"/>
      <x:c r="D7" s="59"/>
      <x:c r="E7" s="59"/>
      <x:c r="F7" s="59"/>
      <x:c r="G7" s="59"/>
      <x:c r="H7" s="194"/>
      <x:c r="I7" s="62" t="s">
        <x:v>0</x:v>
      </x:c>
      <x:c r="J7" s="343" t="str">
        <x:v>Corporate</x:v>
      </x:c>
      <x:c r="K7" s="344"/>
      <x:c r="L7" s="345"/>
      <x:c r="M7" s="65"/>
      <x:c r="N7" s="63" t="s">
        <x:v>69</x:v>
      </x:c>
      <x:c r="O7" s="354" t="str">
        <x:v>Digital Product Lead</x:v>
      </x:c>
      <x:c r="P7" s="355"/>
      <x:c r="Q7" s="356"/>
      <x:c r="R7" s="34"/>
      <x:c r="S7" s="59"/>
      <x:c r="T7" s="59"/>
      <x:c r="U7" s="204"/>
    </x:row>
    <x:row r="8" ht="12.75" customHeight="1">
      <x:c r="A8" s="204"/>
      <x:c r="B8" s="59"/>
      <x:c r="C8" s="59"/>
      <x:c r="D8" s="59"/>
      <x:c r="E8" s="59"/>
      <x:c r="F8" s="59"/>
      <x:c r="G8" s="59"/>
      <x:c r="H8" s="194"/>
      <x:c r="I8" s="62" t="s">
        <x:v>70</x:v>
      </x:c>
      <x:c r="J8" s="343" t="n">
        <x:v>3873</x:v>
      </x:c>
      <x:c r="K8" s="344"/>
      <x:c r="L8" s="345"/>
      <x:c r="M8" s="65"/>
      <x:c r="N8" s="64" t="s">
        <x:v>71</x:v>
      </x:c>
      <x:c r="O8" s="354" t="str">
        <x:v>VP Customer Experience</x:v>
      </x:c>
      <x:c r="P8" s="355"/>
      <x:c r="Q8" s="356"/>
      <x:c r="R8" s="34"/>
      <x:c r="S8" s="59"/>
      <x:c r="T8" s="59"/>
      <x:c r="U8" s="204"/>
    </x:row>
    <x:row r="9" ht="12.75" customHeight="1">
      <x:c r="A9" s="204"/>
      <x:c r="B9" s="59"/>
      <x:c r="C9" s="59"/>
      <x:c r="D9" s="59"/>
      <x:c r="E9" s="59"/>
      <x:c r="F9" s="59"/>
      <x:c r="G9" s="59"/>
      <x:c r="H9" s="194"/>
      <x:c r="I9" s="62" t="s">
        <x:v>72</x:v>
      </x:c>
      <x:c r="J9" s="343" t="str">
        <x:v>BC-2026-0387.3</x:v>
      </x:c>
      <x:c r="K9" s="344"/>
      <x:c r="L9" s="345"/>
      <x:c r="M9" s="65"/>
      <x:c r="N9" s="62" t="s">
        <x:v>73</x:v>
      </x:c>
      <x:c r="O9" s="357" t="n">
        <x:v>46270</x:v>
      </x:c>
      <x:c r="P9" s="358"/>
      <x:c r="Q9" s="359"/>
      <x:c r="R9" s="34"/>
      <x:c r="S9" s="59"/>
      <x:c r="T9" s="59"/>
      <x:c r="U9" s="204"/>
    </x:row>
    <x:row r="10" ht="12.75" customHeight="1">
      <x:c r="A10" s="204"/>
      <x:c r="B10" s="59"/>
      <x:c r="C10" s="59"/>
      <x:c r="D10" s="59"/>
      <x:c r="E10" s="59"/>
      <x:c r="F10" s="59"/>
      <x:c r="G10" s="59"/>
      <x:c r="H10" s="194"/>
      <x:c r="I10" s="62" t="s">
        <x:v>74</x:v>
      </x:c>
      <x:c r="J10" s="340" t="str">
        <x:v>M:COMPANION | Becoming a Daily Shopping Companion</x:v>
      </x:c>
      <x:c r="K10" s="341"/>
      <x:c r="L10" s="342"/>
      <x:c r="M10" s="65"/>
      <x:c r="N10" s="62" t="s">
        <x:v>75</x:v>
      </x:c>
      <x:c r="O10" s="351" t="n">
        <x:v>2026</x:v>
      </x:c>
      <x:c r="P10" s="352"/>
      <x:c r="Q10" s="353"/>
      <x:c r="R10" s="34"/>
      <x:c r="S10" s="59"/>
      <x:c r="T10" s="59"/>
      <x:c r="U10" s="204"/>
    </x:row>
    <x:row r="11" ht="12.75" customHeight="1">
      <x:c r="A11" s="204"/>
      <x:c r="B11" s="59"/>
      <x:c r="C11" s="59"/>
      <x:c r="D11" s="59"/>
      <x:c r="E11" s="59"/>
      <x:c r="F11" s="59"/>
      <x:c r="G11" s="59"/>
      <x:c r="H11" s="194"/>
      <x:c r="I11" s="62" t="s">
        <x:v>76</x:v>
      </x:c>
      <x:c r="J11" s="343" t="str">
        <x:v>Company 1 – Digital Customer Experience</x:v>
      </x:c>
      <x:c r="K11" s="344"/>
      <x:c r="L11" s="345"/>
      <x:c r="M11" s="65"/>
      <x:c r="N11" s="62" t="s">
        <x:v>77</x:v>
      </x:c>
      <x:c r="O11" s="351" t="n">
        <x:v>2027</x:v>
      </x:c>
      <x:c r="P11" s="352"/>
      <x:c r="Q11" s="353"/>
      <x:c r="R11" s="34"/>
      <x:c r="S11" s="59"/>
      <x:c r="T11" s="59"/>
      <x:c r="U11" s="204"/>
    </x:row>
    <x:row r="12" ht="12.75" customHeight="1">
      <x:c r="A12" s="204"/>
      <x:c r="B12" s="59"/>
      <x:c r="C12" s="59"/>
      <x:c r="D12" s="59"/>
      <x:c r="E12" s="59"/>
      <x:c r="F12" s="59"/>
      <x:c r="G12" s="59"/>
      <x:c r="H12" s="194"/>
      <x:c r="I12" s="62"/>
      <x:c r="J12" s="65"/>
      <x:c r="K12" s="65"/>
      <x:c r="L12" s="65"/>
      <x:c r="M12" s="65"/>
      <x:c r="N12" s="195"/>
      <x:c r="O12" s="195"/>
      <x:c r="P12" s="195"/>
      <x:c r="Q12" s="195"/>
      <x:c r="R12" s="34"/>
      <x:c r="S12" s="59"/>
      <x:c r="T12" s="59"/>
      <x:c r="U12" s="204"/>
    </x:row>
    <x:row r="13" ht="12.75" customHeight="1">
      <x:c r="A13" s="204"/>
      <x:c r="B13" s="59"/>
      <x:c r="C13" s="59"/>
      <x:c r="D13" s="59"/>
      <x:c r="E13" s="59"/>
      <x:c r="F13" s="59"/>
      <x:c r="G13" s="59"/>
      <x:c r="H13" s="205"/>
      <x:c r="I13" s="206"/>
      <x:c r="J13" s="207"/>
      <x:c r="K13" s="207"/>
      <x:c r="L13" s="207"/>
      <x:c r="M13" s="207"/>
      <x:c r="N13" s="205"/>
      <x:c r="O13" s="205"/>
      <x:c r="P13" s="205"/>
      <x:c r="Q13" s="205"/>
      <x:c r="R13" s="59"/>
      <x:c r="S13" s="59"/>
      <x:c r="T13" s="59"/>
      <x:c r="U13" s="204"/>
    </x:row>
    <x:row r="14" ht="12.75" customHeight="1">
      <x:c r="A14" s="204"/>
      <x:c r="B14" s="115"/>
      <x:c r="C14" s="106"/>
      <x:c r="D14" s="106"/>
      <x:c r="E14" s="106"/>
      <x:c r="F14" s="106"/>
      <x:c r="G14" s="106"/>
      <x:c r="H14" s="217"/>
      <x:c r="I14" s="218"/>
      <x:c r="J14" s="219"/>
      <x:c r="K14" s="219"/>
      <x:c r="L14" s="219"/>
      <x:c r="M14" s="219"/>
      <x:c r="N14" s="217"/>
      <x:c r="O14" s="217"/>
      <x:c r="P14" s="217"/>
      <x:c r="Q14" s="217"/>
      <x:c r="R14" s="106"/>
      <x:c r="S14" s="106"/>
      <x:c r="T14" s="108"/>
      <x:c r="U14" s="204"/>
    </x:row>
    <x:row r="15" s="208" customFormat="1" ht="12.75" customHeight="1">
      <x:c r="A15" s="216"/>
      <x:c r="B15" s="220"/>
      <x:c r="C15" s="20"/>
      <x:c r="D15" s="20"/>
      <x:c r="E15" s="20"/>
      <x:c r="F15" s="169" t="s">
        <x:v>42</x:v>
      </x:c>
      <x:c r="G15" s="169"/>
      <x:c r="H15" s="170"/>
      <x:c r="I15" s="96" t="n">
        <x:f>O10</x:f>
        <x:v>2026</x:v>
      </x:c>
      <x:c r="J15" s="168" t="n">
        <x:f>O10+1</x:f>
        <x:v>2027</x:v>
      </x:c>
      <x:c r="K15" s="168" t="n">
        <x:f>O10+2</x:f>
        <x:v>2028</x:v>
      </x:c>
      <x:c r="L15" s="168" t="n">
        <x:f>O10+3</x:f>
        <x:v>2029</x:v>
      </x:c>
      <x:c r="M15" s="168" t="n">
        <x:f>O10+4</x:f>
        <x:v>2030</x:v>
      </x:c>
      <x:c r="N15" s="168" t="n">
        <x:f>O10+5</x:f>
        <x:v>2031</x:v>
      </x:c>
      <x:c r="O15" s="168" t="n">
        <x:f>O10+6</x:f>
        <x:v>2032</x:v>
      </x:c>
      <x:c r="P15" s="168" t="n">
        <x:f>O10+7</x:f>
        <x:v>2033</x:v>
      </x:c>
      <x:c r="Q15" s="168" t="n">
        <x:f>O10+8</x:f>
        <x:v>2034</x:v>
      </x:c>
      <x:c r="R15" s="168" t="n">
        <x:f>O10+9</x:f>
        <x:v>2035</x:v>
      </x:c>
      <x:c r="S15" s="168" t="s">
        <x:v>78</x:v>
      </x:c>
      <x:c r="T15" s="221"/>
      <x:c r="U15" s="216"/>
    </x:row>
    <x:row r="16" s="208" customFormat="1" ht="15" customHeight="1">
      <x:c r="A16" s="216"/>
      <x:c r="B16" s="220"/>
      <x:c r="C16" s="72" t="s">
        <x:v>79</x:v>
      </x:c>
      <x:c r="D16" s="212"/>
      <x:c r="E16" s="247"/>
      <x:c r="F16" s="247"/>
      <x:c r="G16" s="71"/>
      <x:c r="H16" s="247"/>
      <x:c r="I16" s="247"/>
      <x:c r="J16" s="71"/>
      <x:c r="K16" s="213"/>
      <x:c r="L16" s="213"/>
      <x:c r="M16" s="213"/>
      <x:c r="N16" s="213"/>
      <x:c r="O16" s="213"/>
      <x:c r="P16" s="213"/>
      <x:c r="Q16" s="213"/>
      <x:c r="R16" s="213"/>
      <x:c r="S16" s="262"/>
      <x:c r="T16" s="221"/>
      <x:c r="U16" s="216"/>
    </x:row>
    <x:row r="17" s="208" customFormat="1">
      <x:c r="A17" s="216"/>
      <x:c r="B17" s="220"/>
      <x:c r="C17" s="20"/>
      <x:c r="D17" s="20"/>
      <x:c r="E17" s="212"/>
      <x:c r="F17" s="272" t="s">
        <x:v>80</x:v>
      </x:c>
      <x:c r="G17" s="273"/>
      <x:c r="H17" s="274"/>
      <x:c r="I17" s="750" t="n">
        <x:f>'Costs &amp; Benefits'!J50</x:f>
        <x:v>100000</x:v>
      </x:c>
      <x:c r="J17" s="750" t="n">
        <x:f>'Costs &amp; Benefits'!K50</x:f>
        <x:v>75000</x:v>
      </x:c>
      <x:c r="K17" s="750" t="n">
        <x:f>'Costs &amp; Benefits'!L50</x:f>
        <x:v>75000</x:v>
      </x:c>
      <x:c r="L17" s="750" t="n">
        <x:f>'Costs &amp; Benefits'!M50</x:f>
        <x:v>75000</x:v>
      </x:c>
      <x:c r="M17" s="750" t="n">
        <x:f>'Costs &amp; Benefits'!N50</x:f>
        <x:v>75000</x:v>
      </x:c>
      <x:c r="N17" s="750" t="n">
        <x:f>'Costs &amp; Benefits'!O50</x:f>
        <x:v>75000</x:v>
      </x:c>
      <x:c r="O17" s="750" t="n">
        <x:f>'Costs &amp; Benefits'!P50</x:f>
        <x:v>75000</x:v>
      </x:c>
      <x:c r="P17" s="750" t="n">
        <x:f>'Costs &amp; Benefits'!Q50</x:f>
        <x:v>75000</x:v>
      </x:c>
      <x:c r="Q17" s="750" t="n">
        <x:f>'Costs &amp; Benefits'!R50</x:f>
        <x:v>75000</x:v>
      </x:c>
      <x:c r="R17" s="750" t="n">
        <x:f>'Costs &amp; Benefits'!S50</x:f>
        <x:v>75000</x:v>
      </x:c>
      <x:c r="S17" s="751" t="n">
        <x:f>SUM(I17:R17)</x:f>
        <x:v>775000</x:v>
      </x:c>
      <x:c r="T17" s="221"/>
      <x:c r="U17" s="216"/>
    </x:row>
    <x:row r="18" s="208" customFormat="1">
      <x:c r="A18" s="216"/>
      <x:c r="B18" s="220"/>
      <x:c r="C18" s="20"/>
      <x:c r="D18" s="20"/>
      <x:c r="E18" s="212"/>
      <x:c r="F18" s="272" t="s">
        <x:v>81</x:v>
      </x:c>
      <x:c r="G18" s="273"/>
      <x:c r="H18" s="274"/>
      <x:c r="I18" s="752" t="n">
        <x:f>'Costs &amp; Benefits'!J84</x:f>
        <x:v>15000</x:v>
      </x:c>
      <x:c r="J18" s="752" t="n">
        <x:f>'Costs &amp; Benefits'!K84</x:f>
        <x:v>95000</x:v>
      </x:c>
      <x:c r="K18" s="752" t="n">
        <x:f>'Costs &amp; Benefits'!L84</x:f>
        <x:v>139135.6</x:v>
      </x:c>
      <x:c r="L18" s="752" t="n">
        <x:f>'Costs &amp; Benefits'!M84</x:f>
        <x:v>9135.6</x:v>
      </x:c>
      <x:c r="M18" s="752" t="n">
        <x:f>'Costs &amp; Benefits'!N84</x:f>
        <x:v>149135.6</x:v>
      </x:c>
      <x:c r="N18" s="752" t="n">
        <x:f>'Costs &amp; Benefits'!O84</x:f>
        <x:v>144567.8</x:v>
      </x:c>
      <x:c r="O18" s="752" t="n">
        <x:f>'Costs &amp; Benefits'!P84</x:f>
        <x:v>140000</x:v>
      </x:c>
      <x:c r="P18" s="752" t="n">
        <x:f>'Costs &amp; Benefits'!Q84</x:f>
        <x:v>70000</x:v>
      </x:c>
      <x:c r="Q18" s="752" t="n">
        <x:f>'Costs &amp; Benefits'!R84</x:f>
        <x:v>0</x:v>
      </x:c>
      <x:c r="R18" s="752" t="n">
        <x:f>'Costs &amp; Benefits'!S84</x:f>
        <x:v>0</x:v>
      </x:c>
      <x:c r="S18" s="751" t="n">
        <x:f t="shared" ref="S18:S24" si="0">SUM(I18:R18)</x:f>
        <x:v>761974.6000000001</x:v>
      </x:c>
      <x:c r="T18" s="221"/>
      <x:c r="U18" s="216"/>
    </x:row>
    <x:row r="19" s="208" customFormat="1" ht="12.75" customHeight="1">
      <x:c r="A19" s="216"/>
      <x:c r="B19" s="220"/>
      <x:c r="C19" s="20"/>
      <x:c r="D19" s="20"/>
      <x:c r="E19" s="212"/>
      <x:c r="F19" s="347" t="s">
        <x:v>82</x:v>
      </x:c>
      <x:c r="G19" s="347"/>
      <x:c r="H19" s="347"/>
      <x:c r="I19" s="753" t="n">
        <x:f t="shared" ref="I19:R19" si="1">I17+I18</x:f>
        <x:v>115000</x:v>
      </x:c>
      <x:c r="J19" s="753" t="n">
        <x:f t="shared" si="1">J17+J18</x:f>
        <x:v>170000</x:v>
      </x:c>
      <x:c r="K19" s="753" t="n">
        <x:f t="shared" si="1">K17+K18</x:f>
        <x:v>214135.6</x:v>
      </x:c>
      <x:c r="L19" s="753" t="n">
        <x:f t="shared" si="1">L17+L18</x:f>
        <x:v>84135.6</x:v>
      </x:c>
      <x:c r="M19" s="753" t="n">
        <x:f t="shared" si="1">M17+M18</x:f>
        <x:v>224135.6</x:v>
      </x:c>
      <x:c r="N19" s="753" t="n">
        <x:f t="shared" si="1">N17+N18</x:f>
        <x:v>219567.8</x:v>
      </x:c>
      <x:c r="O19" s="753" t="n">
        <x:f t="shared" si="1">O17+O18</x:f>
        <x:v>215000</x:v>
      </x:c>
      <x:c r="P19" s="753" t="n">
        <x:f t="shared" si="1">P17+P18</x:f>
        <x:v>145000</x:v>
      </x:c>
      <x:c r="Q19" s="753" t="n">
        <x:f t="shared" si="1">Q17+Q18</x:f>
        <x:v>75000</x:v>
      </x:c>
      <x:c r="R19" s="753" t="n">
        <x:f t="shared" si="1">R17+R18</x:f>
        <x:v>75000</x:v>
      </x:c>
      <x:c r="S19" s="753" t="n">
        <x:f t="shared" si="0">SUM(I19:R19)</x:f>
        <x:v>1536974.5999999999</x:v>
      </x:c>
      <x:c r="T19" s="221"/>
      <x:c r="U19" s="216"/>
    </x:row>
    <x:row r="20" s="208" customFormat="1" ht="12.75" customHeight="1">
      <x:c r="A20" s="216"/>
      <x:c r="B20" s="220"/>
      <x:c r="C20" s="20"/>
      <x:c r="D20" s="20"/>
      <x:c r="E20" s="212"/>
      <x:c r="F20" s="272" t="s">
        <x:v>83</x:v>
      </x:c>
      <x:c r="G20" s="273"/>
      <x:c r="H20" s="274"/>
      <x:c r="I20" s="752" t="n">
        <x:f>'Costs &amp; Benefits'!J101</x:f>
        <x:v>0</x:v>
      </x:c>
      <x:c r="J20" s="752" t="n">
        <x:f>'Costs &amp; Benefits'!K101</x:f>
        <x:v>250000</x:v>
      </x:c>
      <x:c r="K20" s="752" t="n">
        <x:f>'Costs &amp; Benefits'!L101</x:f>
        <x:v>450000</x:v>
      </x:c>
      <x:c r="L20" s="752" t="n">
        <x:f>'Costs &amp; Benefits'!M101</x:f>
        <x:v>450000</x:v>
      </x:c>
      <x:c r="M20" s="752" t="n">
        <x:f>'Costs &amp; Benefits'!N101</x:f>
        <x:v>450000</x:v>
      </x:c>
      <x:c r="N20" s="752" t="n">
        <x:f>'Costs &amp; Benefits'!O101</x:f>
        <x:v>450000</x:v>
      </x:c>
      <x:c r="O20" s="752" t="n">
        <x:f>'Costs &amp; Benefits'!P101</x:f>
        <x:v>450000</x:v>
      </x:c>
      <x:c r="P20" s="752" t="n">
        <x:f>'Costs &amp; Benefits'!Q101</x:f>
        <x:v>450000</x:v>
      </x:c>
      <x:c r="Q20" s="752" t="n">
        <x:f>'Costs &amp; Benefits'!R101</x:f>
        <x:v>450000</x:v>
      </x:c>
      <x:c r="R20" s="752" t="n">
        <x:f>'Costs &amp; Benefits'!S101</x:f>
        <x:v>450000</x:v>
      </x:c>
      <x:c r="S20" s="751" t="n">
        <x:f t="shared" si="0">SUM(I20:R20)</x:f>
        <x:v>3850000</x:v>
      </x:c>
      <x:c r="T20" s="221"/>
      <x:c r="U20" s="216"/>
    </x:row>
    <x:row r="21" s="208" customFormat="1" ht="12.75" customHeight="1">
      <x:c r="A21" s="216"/>
      <x:c r="B21" s="220"/>
      <x:c r="C21" s="20"/>
      <x:c r="D21" s="20"/>
      <x:c r="E21" s="212"/>
      <x:c r="F21" s="272" t="s">
        <x:v>84</x:v>
      </x:c>
      <x:c r="G21" s="273"/>
      <x:c r="H21" s="274"/>
      <x:c r="I21" s="752" t="n">
        <x:f>'Costs &amp; Benefits'!J113</x:f>
        <x:v>0</x:v>
      </x:c>
      <x:c r="J21" s="752" t="n">
        <x:f>'Costs &amp; Benefits'!K113</x:f>
        <x:v>280000</x:v>
      </x:c>
      <x:c r="K21" s="752" t="n">
        <x:f>'Costs &amp; Benefits'!L113</x:f>
        <x:v>280000</x:v>
      </x:c>
      <x:c r="L21" s="752" t="n">
        <x:f>'Costs &amp; Benefits'!M113</x:f>
        <x:v>280000</x:v>
      </x:c>
      <x:c r="M21" s="752" t="n">
        <x:f>'Costs &amp; Benefits'!N113</x:f>
        <x:v>280000</x:v>
      </x:c>
      <x:c r="N21" s="752" t="n">
        <x:f>'Costs &amp; Benefits'!O113</x:f>
        <x:v>280000</x:v>
      </x:c>
      <x:c r="O21" s="752" t="n">
        <x:f>'Costs &amp; Benefits'!P113</x:f>
        <x:v>280000</x:v>
      </x:c>
      <x:c r="P21" s="752" t="n">
        <x:f>'Costs &amp; Benefits'!Q113</x:f>
        <x:v>280000</x:v>
      </x:c>
      <x:c r="Q21" s="752" t="n">
        <x:f>'Costs &amp; Benefits'!R113</x:f>
        <x:v>280000</x:v>
      </x:c>
      <x:c r="R21" s="752" t="n">
        <x:f>'Costs &amp; Benefits'!S113</x:f>
        <x:v>280000</x:v>
      </x:c>
      <x:c r="S21" s="751" t="n">
        <x:f t="shared" si="0">SUM(I21:R21)</x:f>
        <x:v>2520000</x:v>
      </x:c>
      <x:c r="T21" s="221"/>
      <x:c r="U21" s="216"/>
    </x:row>
    <x:row r="22" s="208" customFormat="1" ht="12.75" customHeight="1">
      <x:c r="A22" s="216"/>
      <x:c r="B22" s="220"/>
      <x:c r="C22" s="20"/>
      <x:c r="D22" s="20"/>
      <x:c r="E22" s="212"/>
      <x:c r="F22" s="347" t="s">
        <x:v>85</x:v>
      </x:c>
      <x:c r="G22" s="347"/>
      <x:c r="H22" s="347"/>
      <x:c r="I22" s="753" t="n">
        <x:f t="shared" ref="I22:R22" si="2">I20+I21</x:f>
        <x:v>0</x:v>
      </x:c>
      <x:c r="J22" s="753" t="n">
        <x:f t="shared" si="2">J20+J21</x:f>
        <x:v>530000</x:v>
      </x:c>
      <x:c r="K22" s="753" t="n">
        <x:f t="shared" si="2">K20+K21</x:f>
        <x:v>730000</x:v>
      </x:c>
      <x:c r="L22" s="753" t="n">
        <x:f t="shared" si="2">L20+L21</x:f>
        <x:v>730000</x:v>
      </x:c>
      <x:c r="M22" s="753" t="n">
        <x:f t="shared" si="2">M20+M21</x:f>
        <x:v>730000</x:v>
      </x:c>
      <x:c r="N22" s="753" t="n">
        <x:f t="shared" si="2">N20+N21</x:f>
        <x:v>730000</x:v>
      </x:c>
      <x:c r="O22" s="753" t="n">
        <x:f t="shared" si="2">O20+O21</x:f>
        <x:v>730000</x:v>
      </x:c>
      <x:c r="P22" s="753" t="n">
        <x:f t="shared" si="2">P20+P21</x:f>
        <x:v>730000</x:v>
      </x:c>
      <x:c r="Q22" s="753" t="n">
        <x:f t="shared" si="2">Q20+Q21</x:f>
        <x:v>730000</x:v>
      </x:c>
      <x:c r="R22" s="753" t="n">
        <x:f t="shared" si="2">R20+R21</x:f>
        <x:v>730000</x:v>
      </x:c>
      <x:c r="S22" s="753" t="n">
        <x:f t="shared" si="0">SUM(I22:R22)</x:f>
        <x:v>6370000</x:v>
      </x:c>
      <x:c r="T22" s="221"/>
      <x:c r="U22" s="216"/>
    </x:row>
    <x:row r="23" s="208" customFormat="1" ht="12.75" customHeight="1">
      <x:c r="A23" s="216"/>
      <x:c r="B23" s="220"/>
      <x:c r="C23" s="20"/>
      <x:c r="D23" s="20"/>
      <x:c r="E23" s="212"/>
      <x:c r="F23" s="214"/>
      <x:c r="G23" s="214"/>
      <x:c r="H23" s="214"/>
      <x:c r="I23" s="754"/>
      <x:c r="J23" s="754"/>
      <x:c r="K23" s="754"/>
      <x:c r="L23" s="754"/>
      <x:c r="M23" s="754"/>
      <x:c r="N23" s="754"/>
      <x:c r="O23" s="754"/>
      <x:c r="P23" s="754"/>
      <x:c r="Q23" s="754"/>
      <x:c r="R23" s="754"/>
      <x:c r="S23" s="755"/>
      <x:c r="T23" s="222"/>
      <x:c r="U23" s="216"/>
    </x:row>
    <x:row r="24" s="208" customFormat="1" ht="15" customHeight="1">
      <x:c r="A24" s="216"/>
      <x:c r="B24" s="220"/>
      <x:c r="C24" s="20"/>
      <x:c r="D24" s="20"/>
      <x:c r="E24" s="259"/>
      <x:c r="F24" s="256" t="s">
        <x:v>86</x:v>
      </x:c>
      <x:c r="G24" s="260"/>
      <x:c r="H24" s="261"/>
      <x:c r="I24" s="756" t="n">
        <x:f t="shared" ref="I24:R24" si="3">I22-I19</x:f>
        <x:v>-115000</x:v>
      </x:c>
      <x:c r="J24" s="756" t="n">
        <x:f t="shared" si="3">J22-J19</x:f>
        <x:v>360000</x:v>
      </x:c>
      <x:c r="K24" s="756" t="n">
        <x:f t="shared" si="3">K22-K19</x:f>
        <x:v>515864.4</x:v>
      </x:c>
      <x:c r="L24" s="756" t="n">
        <x:f t="shared" si="3">L22-L19</x:f>
        <x:v>645864.4</x:v>
      </x:c>
      <x:c r="M24" s="756" t="n">
        <x:f t="shared" si="3">M22-M19</x:f>
        <x:v>505864.4</x:v>
      </x:c>
      <x:c r="N24" s="756" t="n">
        <x:f t="shared" si="3">N22-N19</x:f>
        <x:v>510432.2</x:v>
      </x:c>
      <x:c r="O24" s="756" t="n">
        <x:f t="shared" si="3">O22-O19</x:f>
        <x:v>515000</x:v>
      </x:c>
      <x:c r="P24" s="756" t="n">
        <x:f t="shared" si="3">P22-P19</x:f>
        <x:v>585000</x:v>
      </x:c>
      <x:c r="Q24" s="756" t="n">
        <x:f t="shared" si="3">Q22-Q19</x:f>
        <x:v>655000</x:v>
      </x:c>
      <x:c r="R24" s="756" t="n">
        <x:f t="shared" si="3">R22-R19</x:f>
        <x:v>655000</x:v>
      </x:c>
      <x:c r="S24" s="757" t="n">
        <x:f t="shared" si="0">SUM(I24:R24)</x:f>
        <x:v>4833025.4</x:v>
      </x:c>
      <x:c r="T24" s="221"/>
      <x:c r="U24" s="216"/>
    </x:row>
    <x:row r="25" s="208" customFormat="1" ht="12.75" customHeight="1">
      <x:c r="A25" s="216"/>
      <x:c r="B25" s="2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21"/>
      <x:c r="U25" s="243"/>
    </x:row>
    <x:row r="26" ht="12.75" customHeight="1">
      <x:c r="A26" s="204"/>
      <x:c r="B26" s="234"/>
      <x:c r="C26" s="194"/>
      <x:c r="D26" s="194"/>
      <x:c r="E26" s="196"/>
      <x:c r="F26" s="197"/>
      <x:c r="G26" s="194"/>
      <x:c r="H26" s="198"/>
      <x:c r="I26" s="198"/>
      <x:c r="J26" s="198"/>
      <x:c r="K26" s="198"/>
      <x:c r="L26" s="198"/>
      <x:c r="M26" s="198"/>
      <x:c r="N26" s="198"/>
      <x:c r="O26" s="198"/>
      <x:c r="P26" s="198"/>
      <x:c r="Q26" s="198"/>
      <x:c r="R26" s="198"/>
      <x:c r="S26" s="194"/>
      <x:c r="T26" s="235"/>
      <x:c r="U26" s="204"/>
    </x:row>
    <x:row r="27" ht="12.75" customHeight="1">
      <x:c r="A27" s="204"/>
      <x:c r="B27" s="234"/>
      <x:c r="C27" s="194"/>
      <x:c r="D27" s="194"/>
      <x:c r="E27" s="194"/>
      <x:c r="F27" s="169" t="s">
        <x:v>42</x:v>
      </x:c>
      <x:c r="G27" s="169"/>
      <x:c r="H27" s="170" t="s">
        <x:v>87</x:v>
      </x:c>
      <x:c r="I27" s="200" t="n">
        <x:f>O10</x:f>
        <x:v>2026</x:v>
      </x:c>
      <x:c r="J27" s="200" t="n">
        <x:f>O10+1</x:f>
        <x:v>2027</x:v>
      </x:c>
      <x:c r="K27" s="200" t="n">
        <x:f>O10+2</x:f>
        <x:v>2028</x:v>
      </x:c>
      <x:c r="L27" s="200" t="n">
        <x:f>O10+3</x:f>
        <x:v>2029</x:v>
      </x:c>
      <x:c r="M27" s="200" t="n">
        <x:f>O10+4</x:f>
        <x:v>2030</x:v>
      </x:c>
      <x:c r="N27" s="200" t="n">
        <x:f>O10+5</x:f>
        <x:v>2031</x:v>
      </x:c>
      <x:c r="O27" s="200" t="n">
        <x:f>O10+6</x:f>
        <x:v>2032</x:v>
      </x:c>
      <x:c r="P27" s="200" t="n">
        <x:f>O10+7</x:f>
        <x:v>2033</x:v>
      </x:c>
      <x:c r="Q27" s="200" t="n">
        <x:f>O10+8</x:f>
        <x:v>2034</x:v>
      </x:c>
      <x:c r="R27" s="200" t="n">
        <x:f>O10+9</x:f>
        <x:v>2035</x:v>
      </x:c>
      <x:c r="S27" s="200" t="s">
        <x:v>78</x:v>
      </x:c>
      <x:c r="T27" s="235"/>
      <x:c r="U27" s="204"/>
    </x:row>
    <x:row r="28" ht="15" customHeight="1">
      <x:c r="A28" s="204"/>
      <x:c r="B28" s="234"/>
      <x:c r="C28" s="72" t="s">
        <x:v>88</x:v>
      </x:c>
      <x:c r="D28" s="224"/>
      <x:c r="E28" s="247"/>
      <x:c r="F28" s="212"/>
      <x:c r="G28" s="247"/>
      <x:c r="H28" s="247"/>
      <x:c r="I28" s="71"/>
      <x:c r="J28" s="247"/>
      <x:c r="K28" s="200"/>
      <x:c r="L28" s="200"/>
      <x:c r="M28" s="200"/>
      <x:c r="N28" s="200"/>
      <x:c r="O28" s="200"/>
      <x:c r="P28" s="200"/>
      <x:c r="Q28" s="200"/>
      <x:c r="R28" s="200"/>
      <x:c r="S28" s="200"/>
      <x:c r="T28" s="235"/>
      <x:c r="U28" s="204"/>
    </x:row>
    <x:row r="29" ht="12.75" customHeight="1">
      <x:c r="A29" s="204"/>
      <x:c r="B29" s="234"/>
      <x:c r="C29" s="194"/>
      <x:c r="D29" s="194"/>
      <x:c r="E29" s="224"/>
      <x:c r="F29" s="272" t="s">
        <x:v>80</x:v>
      </x:c>
      <x:c r="G29" s="273"/>
      <x:c r="H29" s="274"/>
      <x:c r="I29" s="752" t="n">
        <x:f>'Costs &amp; Benefits'!J125</x:f>
        <x:v>100000</x:v>
      </x:c>
      <x:c r="J29" s="752" t="n">
        <x:f>'Costs &amp; Benefits'!K125</x:f>
        <x:v>75000</x:v>
      </x:c>
      <x:c r="K29" s="752" t="n">
        <x:f>'Costs &amp; Benefits'!L125</x:f>
        <x:v>75000</x:v>
      </x:c>
      <x:c r="L29" s="752" t="n">
        <x:f>'Costs &amp; Benefits'!M125</x:f>
        <x:v>75000</x:v>
      </x:c>
      <x:c r="M29" s="752" t="n">
        <x:f>'Costs &amp; Benefits'!N125</x:f>
        <x:v>75000</x:v>
      </x:c>
      <x:c r="N29" s="752" t="n">
        <x:f>'Costs &amp; Benefits'!O125</x:f>
        <x:v>75000</x:v>
      </x:c>
      <x:c r="O29" s="752" t="n">
        <x:f>'Costs &amp; Benefits'!P125</x:f>
        <x:v>75000</x:v>
      </x:c>
      <x:c r="P29" s="752" t="n">
        <x:f>'Costs &amp; Benefits'!Q125</x:f>
        <x:v>75000</x:v>
      </x:c>
      <x:c r="Q29" s="752" t="n">
        <x:f>'Costs &amp; Benefits'!R125</x:f>
        <x:v>75000</x:v>
      </x:c>
      <x:c r="R29" s="752" t="n">
        <x:f>'Costs &amp; Benefits'!S125</x:f>
        <x:v>75000</x:v>
      </x:c>
      <x:c r="S29" s="766" t="n">
        <x:f>SUM(I29:R29)</x:f>
        <x:v>775000</x:v>
      </x:c>
      <x:c r="T29" s="235"/>
      <x:c r="U29" s="204"/>
    </x:row>
    <x:row r="30" ht="13.5" customHeight="1">
      <x:c r="A30" s="204"/>
      <x:c r="B30" s="234"/>
      <x:c r="C30" s="194"/>
      <x:c r="D30" s="194"/>
      <x:c r="E30" s="224"/>
      <x:c r="F30" s="272" t="s">
        <x:v>89</x:v>
      </x:c>
      <x:c r="G30" s="273"/>
      <x:c r="H30" s="274"/>
      <x:c r="I30" s="752" t="n">
        <x:f>'Costs &amp; Benefits'!J126</x:f>
        <x:v>15000</x:v>
      </x:c>
      <x:c r="J30" s="752" t="n">
        <x:f>'Costs &amp; Benefits'!K126</x:f>
        <x:v>95000</x:v>
      </x:c>
      <x:c r="K30" s="752" t="n">
        <x:f>'Costs &amp; Benefits'!L126</x:f>
        <x:v>139135.6</x:v>
      </x:c>
      <x:c r="L30" s="752" t="n">
        <x:f>'Costs &amp; Benefits'!M126</x:f>
        <x:v>9135.6</x:v>
      </x:c>
      <x:c r="M30" s="752" t="n">
        <x:f>'Costs &amp; Benefits'!N126</x:f>
        <x:v>149135.6</x:v>
      </x:c>
      <x:c r="N30" s="752" t="n">
        <x:f>'Costs &amp; Benefits'!O126</x:f>
        <x:v>144567.8</x:v>
      </x:c>
      <x:c r="O30" s="752" t="n">
        <x:f>'Costs &amp; Benefits'!P126</x:f>
        <x:v>140000</x:v>
      </x:c>
      <x:c r="P30" s="752" t="n">
        <x:f>'Costs &amp; Benefits'!Q126</x:f>
        <x:v>70000</x:v>
      </x:c>
      <x:c r="Q30" s="752" t="n">
        <x:f>'Costs &amp; Benefits'!R126</x:f>
        <x:v>0</x:v>
      </x:c>
      <x:c r="R30" s="752" t="n">
        <x:f>'Costs &amp; Benefits'!S126</x:f>
        <x:v>0</x:v>
      </x:c>
      <x:c r="S30" s="766" t="n">
        <x:f t="shared" ref="S30:S37" si="4">SUM(I30:R30)</x:f>
        <x:v>761974.6000000001</x:v>
      </x:c>
      <x:c r="T30" s="235"/>
      <x:c r="U30" s="204"/>
    </x:row>
    <x:row r="31" ht="12.75" customHeight="1">
      <x:c r="A31" s="204"/>
      <x:c r="B31" s="234"/>
      <x:c r="C31" s="194"/>
      <x:c r="D31" s="194"/>
      <x:c r="E31" s="224"/>
      <x:c r="F31" s="272" t="s">
        <x:v>90</x:v>
      </x:c>
      <x:c r="G31" s="273"/>
      <x:c r="H31" s="274"/>
      <x:c r="I31" s="752" t="n">
        <x:f>'Costs &amp; Benefits'!J127</x:f>
        <x:v>0</x:v>
      </x:c>
      <x:c r="J31" s="752" t="n">
        <x:f t="shared" ref="J31:R31" si="5">'Costs &amp; Benefits'!K127</x:f>
        <x:v>530000</x:v>
      </x:c>
      <x:c r="K31" s="752" t="n">
        <x:f t="shared" si="5">'Costs &amp; Benefits'!L127</x:f>
        <x:v>730000</x:v>
      </x:c>
      <x:c r="L31" s="752" t="n">
        <x:f t="shared" si="5">'Costs &amp; Benefits'!M127</x:f>
        <x:v>730000</x:v>
      </x:c>
      <x:c r="M31" s="752" t="n">
        <x:f t="shared" si="5">'Costs &amp; Benefits'!N127</x:f>
        <x:v>730000</x:v>
      </x:c>
      <x:c r="N31" s="752" t="n">
        <x:f t="shared" si="5">'Costs &amp; Benefits'!O127</x:f>
        <x:v>730000</x:v>
      </x:c>
      <x:c r="O31" s="752" t="n">
        <x:f t="shared" si="5">'Costs &amp; Benefits'!P127</x:f>
        <x:v>730000</x:v>
      </x:c>
      <x:c r="P31" s="752" t="n">
        <x:f t="shared" si="5">'Costs &amp; Benefits'!Q127</x:f>
        <x:v>730000</x:v>
      </x:c>
      <x:c r="Q31" s="752" t="n">
        <x:f t="shared" si="5">'Costs &amp; Benefits'!R127</x:f>
        <x:v>730000</x:v>
      </x:c>
      <x:c r="R31" s="752" t="n">
        <x:f t="shared" si="5">'Costs &amp; Benefits'!S127</x:f>
        <x:v>730000</x:v>
      </x:c>
      <x:c r="S31" s="766" t="n">
        <x:f t="shared" si="4">SUM(I31:R31)</x:f>
        <x:v>6370000</x:v>
      </x:c>
      <x:c r="T31" s="235"/>
      <x:c r="U31" s="204"/>
    </x:row>
    <x:row r="32" ht="12.75" customHeight="1">
      <x:c r="A32" s="204"/>
      <x:c r="B32" s="234"/>
      <x:c r="C32" s="194"/>
      <x:c r="D32" s="194"/>
      <x:c r="E32" s="224"/>
      <x:c r="F32" s="346" t="s">
        <x:v>91</x:v>
      </x:c>
      <x:c r="G32" s="339"/>
      <x:c r="H32" s="339"/>
      <x:c r="I32" s="767" t="n">
        <x:f>'Costs &amp; Benefits'!J128</x:f>
        <x:v>-115000</x:v>
      </x:c>
      <x:c r="J32" s="767" t="n">
        <x:f>'Costs &amp; Benefits'!K128</x:f>
        <x:v>360000</x:v>
      </x:c>
      <x:c r="K32" s="767" t="n">
        <x:f>'Costs &amp; Benefits'!L128</x:f>
        <x:v>515864.4</x:v>
      </x:c>
      <x:c r="L32" s="767" t="n">
        <x:f>'Costs &amp; Benefits'!M128</x:f>
        <x:v>645864.4</x:v>
      </x:c>
      <x:c r="M32" s="767" t="n">
        <x:f>'Costs &amp; Benefits'!N128</x:f>
        <x:v>505864.4</x:v>
      </x:c>
      <x:c r="N32" s="767" t="n">
        <x:f>'Costs &amp; Benefits'!O128</x:f>
        <x:v>510432.19999999995</x:v>
      </x:c>
      <x:c r="O32" s="767" t="n">
        <x:f>'Costs &amp; Benefits'!P128</x:f>
        <x:v>515000</x:v>
      </x:c>
      <x:c r="P32" s="767" t="n">
        <x:f>'Costs &amp; Benefits'!Q128</x:f>
        <x:v>585000</x:v>
      </x:c>
      <x:c r="Q32" s="767" t="n">
        <x:f>'Costs &amp; Benefits'!R128</x:f>
        <x:v>655000</x:v>
      </x:c>
      <x:c r="R32" s="767" t="n">
        <x:f>'Costs &amp; Benefits'!S128</x:f>
        <x:v>655000</x:v>
      </x:c>
      <x:c r="S32" s="768" t="n">
        <x:f t="shared" si="4">SUM(I32:R32)</x:f>
        <x:v>4833025.4</x:v>
      </x:c>
      <x:c r="T32" s="235"/>
      <x:c r="U32" s="204"/>
    </x:row>
    <x:row r="33" ht="12.75" customHeight="1">
      <x:c r="A33" s="204"/>
      <x:c r="B33" s="234"/>
      <x:c r="C33" s="194"/>
      <x:c r="D33" s="194"/>
      <x:c r="E33" s="224"/>
      <x:c r="F33" s="272" t="s">
        <x:v>92</x:v>
      </x:c>
      <x:c r="G33" s="273"/>
      <x:c r="H33" s="274"/>
      <x:c r="I33" s="752" t="n">
        <x:f>'Costs &amp; Benefits'!J129</x:f>
        <x:v>30979.489968367</x:v>
      </x:c>
      <x:c r="J33" s="752" t="n">
        <x:f>'Costs &amp; Benefits'!K129</x:f>
        <x:v>-96979.27294445322</x:v>
      </x:c>
      <x:c r="K33" s="752" t="n">
        <x:f>'Costs &amp; Benefits'!L129</x:f>
        <x:v>-138967.09569424053</x:v>
      </x:c>
      <x:c r="L33" s="752" t="n">
        <x:f>'Costs &amp; Benefits'!M129</x:f>
        <x:v>-173987.38870195975</x:v>
      </x:c>
      <x:c r="M33" s="752" t="n">
        <x:f>'Costs &amp; Benefits'!N129</x:f>
        <x:v>-136273.22700133905</x:v>
      </x:c>
      <x:c r="N33" s="752" t="n">
        <x:f>'Costs &amp; Benefits'!O129</x:f>
        <x:v>-137503.73234288258</x:v>
      </x:c>
      <x:c r="O33" s="752" t="n">
        <x:f>'Costs &amp; Benefits'!P129</x:f>
        <x:v>-138734.23768442613</x:v>
      </x:c>
      <x:c r="P33" s="752" t="n">
        <x:f>'Costs &amp; Benefits'!Q129</x:f>
        <x:v>-157591.31853473646</x:v>
      </x:c>
      <x:c r="Q33" s="752" t="n">
        <x:f>'Costs &amp; Benefits'!R129</x:f>
        <x:v>-176448.39938504683</x:v>
      </x:c>
      <x:c r="R33" s="752" t="n">
        <x:f>'Costs &amp; Benefits'!S129</x:f>
        <x:v>-176448.39938504683</x:v>
      </x:c>
      <x:c r="S33" s="766" t="n">
        <x:f t="shared" si="4">SUM(I33:R33)</x:f>
        <x:v>-1301953.5817057646</x:v>
      </x:c>
      <x:c r="T33" s="235"/>
      <x:c r="U33" s="204"/>
    </x:row>
    <x:row r="34" ht="12.75" customHeight="1">
      <x:c r="A34" s="204"/>
      <x:c r="B34" s="234"/>
      <x:c r="C34" s="194"/>
      <x:c r="D34" s="194"/>
      <x:c r="E34" s="224"/>
      <x:c r="F34" s="346" t="s">
        <x:v>93</x:v>
      </x:c>
      <x:c r="G34" s="339"/>
      <x:c r="H34" s="339"/>
      <x:c r="I34" s="767" t="n">
        <x:f>'Costs &amp; Benefits'!J130</x:f>
        <x:v>-84020.51003163299</x:v>
      </x:c>
      <x:c r="J34" s="767" t="n">
        <x:f>'Costs &amp; Benefits'!K130</x:f>
        <x:v>263020.72705554677</x:v>
      </x:c>
      <x:c r="K34" s="767" t="n">
        <x:f>'Costs &amp; Benefits'!L130</x:f>
        <x:v>376897.3043057595</x:v>
      </x:c>
      <x:c r="L34" s="767" t="n">
        <x:f>'Costs &amp; Benefits'!M130</x:f>
        <x:v>471877.0112980403</x:v>
      </x:c>
      <x:c r="M34" s="767" t="n">
        <x:f>'Costs &amp; Benefits'!N130</x:f>
        <x:v>369591.17299866094</x:v>
      </x:c>
      <x:c r="N34" s="767" t="n">
        <x:f>'Costs &amp; Benefits'!O130</x:f>
        <x:v>372928.4676571174</x:v>
      </x:c>
      <x:c r="O34" s="767" t="n">
        <x:f>'Costs &amp; Benefits'!P130</x:f>
        <x:v>376265.76231557387</x:v>
      </x:c>
      <x:c r="P34" s="767" t="n">
        <x:f>'Costs &amp; Benefits'!Q130</x:f>
        <x:v>427408.68146526354</x:v>
      </x:c>
      <x:c r="Q34" s="767" t="n">
        <x:f>'Costs &amp; Benefits'!R130</x:f>
        <x:v>478551.6006149532</x:v>
      </x:c>
      <x:c r="R34" s="767" t="n">
        <x:f>'Costs &amp; Benefits'!S130</x:f>
        <x:v>478551.6006149532</x:v>
      </x:c>
      <x:c r="S34" s="768" t="n">
        <x:f t="shared" si="4">SUM(I34:R34)</x:f>
        <x:v>3531071.818294236</x:v>
      </x:c>
      <x:c r="T34" s="235"/>
      <x:c r="U34" s="204"/>
    </x:row>
    <x:row r="35" ht="12.75" customHeight="1">
      <x:c r="A35" s="204"/>
      <x:c r="B35" s="234"/>
      <x:c r="C35" s="194"/>
      <x:c r="D35" s="194"/>
      <x:c r="E35" s="224"/>
      <x:c r="F35" s="272" t="s">
        <x:v>94</x:v>
      </x:c>
      <x:c r="G35" s="273"/>
      <x:c r="H35" s="274"/>
      <x:c r="I35" s="752" t="n">
        <x:f>'Costs &amp; Benefits'!J131</x:f>
        <x:v>135000</x:v>
      </x:c>
      <x:c r="J35" s="752" t="n">
        <x:f>'Costs &amp; Benefits'!K131</x:f>
        <x:v>690000</x:v>
      </x:c>
      <x:c r="K35" s="752" t="n">
        <x:f>'Costs &amp; Benefits'!L131</x:f>
        <x:v>477839</x:v>
      </x:c>
      <x:c r="L35" s="752" t="n">
        <x:f>'Costs &amp; Benefits'!M131</x:f>
        <x:v>13703.4</x:v>
      </x:c>
      <x:c r="M35" s="752" t="n">
        <x:f>'Costs &amp; Benefits'!N131</x:f>
        <x:v>354567.8</x:v>
      </x:c>
      <x:c r="N35" s="752" t="n">
        <x:f>'Costs &amp; Benefits'!O131</x:f>
        <x:v>210000</x:v>
      </x:c>
      <x:c r="O35" s="752" t="n">
        <x:f>'Costs &amp; Benefits'!P131</x:f>
        <x:v>70000</x:v>
      </x:c>
      <x:c r="P35" s="752" t="n">
        <x:f>'Costs &amp; Benefits'!Q131</x:f>
        <x:v>0</x:v>
      </x:c>
      <x:c r="Q35" s="752" t="n">
        <x:f>'Costs &amp; Benefits'!R131</x:f>
        <x:v>0</x:v>
      </x:c>
      <x:c r="R35" s="752" t="n">
        <x:f>'Costs &amp; Benefits'!S131</x:f>
        <x:v>0</x:v>
      </x:c>
      <x:c r="S35" s="766" t="n">
        <x:f t="shared" si="4">SUM(I35:R35)</x:f>
        <x:v>1951110.2</x:v>
      </x:c>
      <x:c r="T35" s="235"/>
      <x:c r="U35" s="204"/>
    </x:row>
    <x:row r="36" ht="12.75" customHeight="1">
      <x:c r="A36" s="204"/>
      <x:c r="B36" s="234"/>
      <x:c r="C36" s="194"/>
      <x:c r="D36" s="194"/>
      <x:c r="E36" s="224"/>
      <x:c r="F36" s="272" t="s">
        <x:v>95</x:v>
      </x:c>
      <x:c r="G36" s="273"/>
      <x:c r="H36" s="274"/>
      <x:c r="I36" s="769" t="n">
        <x:f>'Costs &amp; Benefits'!J132</x:f>
        <x:v>-7844.097361051763</x:v>
      </x:c>
      <x:c r="J36" s="769" t="n">
        <x:f>'Costs &amp; Benefits'!K132</x:f>
        <x:v>-40092.05317870901</x:v>
      </x:c>
      <x:c r="K36" s="769" t="n">
        <x:f>'Costs &amp; Benefits'!L132</x:f>
        <x:v>-27764.560288204542</x:v>
      </x:c>
      <x:c r="L36" s="769" t="n">
        <x:f>'Costs &amp; Benefits'!M132</x:f>
        <x:v>-796.2281761291609</x:v>
      </x:c>
      <x:c r="M36" s="769" t="n">
        <x:f>'Costs &amp; Benefits'!N132</x:f>
        <x:v>-20601.958105880956</x:v>
      </x:c>
      <x:c r="N36" s="769" t="n">
        <x:f>'Costs &amp; Benefits'!O132</x:f>
        <x:v>-12201.929228302743</x:v>
      </x:c>
      <x:c r="O36" s="769" t="n">
        <x:f>'Costs &amp; Benefits'!P132</x:f>
        <x:v>-4067.3097427675807</x:v>
      </x:c>
      <x:c r="P36" s="769" t="n">
        <x:f>'Costs &amp; Benefits'!Q132</x:f>
        <x:v>0</x:v>
      </x:c>
      <x:c r="Q36" s="769" t="n">
        <x:f>'Costs &amp; Benefits'!R132</x:f>
        <x:v>0</x:v>
      </x:c>
      <x:c r="R36" s="769" t="n">
        <x:f>'Costs &amp; Benefits'!S132</x:f>
        <x:v>0</x:v>
      </x:c>
      <x:c r="S36" s="770" t="n">
        <x:f t="shared" si="4">SUM(I36:R36)</x:f>
        <x:v>-113368.13608104577</x:v>
      </x:c>
      <x:c r="T36" s="235"/>
      <x:c r="U36" s="204"/>
    </x:row>
    <x:row r="37" ht="12.75" customHeight="1">
      <x:c r="A37" s="204"/>
      <x:c r="B37" s="234"/>
      <x:c r="C37" s="194"/>
      <x:c r="D37" s="194"/>
      <x:c r="E37" s="224"/>
      <x:c r="F37" s="346" t="s">
        <x:v>96</x:v>
      </x:c>
      <x:c r="G37" s="339"/>
      <x:c r="H37" s="339"/>
      <x:c r="I37" s="753" t="n">
        <x:f>'Costs &amp; Benefits'!J133</x:f>
        <x:v>-91864.60739268476</x:v>
      </x:c>
      <x:c r="J37" s="753" t="n">
        <x:f>'Costs &amp; Benefits'!K133</x:f>
        <x:v>222928.67387683777</x:v>
      </x:c>
      <x:c r="K37" s="753" t="n">
        <x:f>'Costs &amp; Benefits'!L133</x:f>
        <x:v>349132.744017555</x:v>
      </x:c>
      <x:c r="L37" s="753" t="n">
        <x:f>'Costs &amp; Benefits'!M133</x:f>
        <x:v>471080.7831219111</x:v>
      </x:c>
      <x:c r="M37" s="753" t="n">
        <x:f>'Costs &amp; Benefits'!N133</x:f>
        <x:v>348989.21489278</x:v>
      </x:c>
      <x:c r="N37" s="753" t="n">
        <x:f>'Costs &amp; Benefits'!O133</x:f>
        <x:v>360726.5384288147</x:v>
      </x:c>
      <x:c r="O37" s="753" t="n">
        <x:f>'Costs &amp; Benefits'!P133</x:f>
        <x:v>372198.4525728063</x:v>
      </x:c>
      <x:c r="P37" s="753" t="n">
        <x:f>'Costs &amp; Benefits'!Q133</x:f>
        <x:v>427408.68146526354</x:v>
      </x:c>
      <x:c r="Q37" s="753" t="n">
        <x:f>'Costs &amp; Benefits'!R133</x:f>
        <x:v>478551.6006149532</x:v>
      </x:c>
      <x:c r="R37" s="753" t="n">
        <x:f>'Costs &amp; Benefits'!S133</x:f>
        <x:v>478551.6006149532</x:v>
      </x:c>
      <x:c r="S37" s="753" t="n">
        <x:f t="shared" si="4">SUM(I37:R37)</x:f>
        <x:v>3417703.68221319</x:v>
      </x:c>
      <x:c r="T37" s="235"/>
      <x:c r="U37" s="204"/>
    </x:row>
    <x:row r="38" ht="12.75" customHeight="1">
      <x:c r="A38" s="59"/>
      <x:c r="B38" s="116"/>
      <x:c r="C38" s="54"/>
      <x:c r="D38" s="54"/>
      <x:c r="E38" s="225"/>
      <x:c r="F38" s="226"/>
      <x:c r="G38" s="227"/>
      <x:c r="H38" s="227"/>
      <x:c r="I38" s="771"/>
      <x:c r="J38" s="771"/>
      <x:c r="K38" s="772"/>
      <x:c r="L38" s="773"/>
      <x:c r="M38" s="773"/>
      <x:c r="N38" s="773"/>
      <x:c r="O38" s="773"/>
      <x:c r="P38" s="773"/>
      <x:c r="Q38" s="773"/>
      <x:c r="R38" s="773"/>
      <x:c r="S38" s="774"/>
      <x:c r="T38" s="236"/>
      <x:c r="U38" s="204"/>
    </x:row>
    <x:row r="39" ht="15" customHeight="1">
      <x:c r="A39" s="59"/>
      <x:c r="B39" s="116"/>
      <x:c r="C39" s="54"/>
      <x:c r="D39" s="54"/>
      <x:c r="E39" s="247" t="s">
        <x:v>97</x:v>
      </x:c>
      <x:c r="F39" s="247"/>
      <x:c r="G39" s="247"/>
      <x:c r="H39" s="247"/>
      <x:c r="I39" s="775" t="n">
        <x:f>'Costs &amp; Benefits'!J135</x:f>
        <x:v>-91864.60739268476</x:v>
      </x:c>
      <x:c r="J39" s="775" t="n">
        <x:f>'Costs &amp; Benefits'!K135</x:f>
        <x:v>210686.83641371786</x:v>
      </x:c>
      <x:c r="K39" s="775" t="n">
        <x:f>'Costs &amp; Benefits'!L135</x:f>
        <x:v>311841.2198536183</x:v>
      </x:c>
      <x:c r="L39" s="775" t="n">
        <x:f>'Costs &amp; Benefits'!M135</x:f>
        <x:v>397658.06658216746</x:v>
      </x:c>
      <x:c r="M39" s="775" t="n">
        <x:f>'Costs &amp; Benefits'!N135</x:f>
        <x:v>278418.36804444954</x:v>
      </x:c>
      <x:c r="N39" s="775" t="n">
        <x:f>'Costs &amp; Benefits'!O135</x:f>
        <x:v>271979.04306400084</x:v>
      </x:c>
      <x:c r="O39" s="775" t="n">
        <x:f>'Costs &amp; Benefits'!P135</x:f>
        <x:v>265218.23453153175</x:v>
      </x:c>
      <x:c r="P39" s="775" t="n">
        <x:f>'Costs &amp; Benefits'!Q135</x:f>
        <x:v>287835.0154681486</x:v>
      </x:c>
      <x:c r="Q39" s="775" t="n">
        <x:f>'Costs &amp; Benefits'!R135</x:f>
        <x:v>304579.4012460559</x:v>
      </x:c>
      <x:c r="R39" s="775" t="n">
        <x:f>'Costs &amp; Benefits'!S135</x:f>
        <x:v>287853.8205487582</x:v>
      </x:c>
      <x:c r="S39" s="776" t="n">
        <x:f>SUM(I39:R39)</x:f>
        <x:v>2524205.398359764</x:v>
      </x:c>
      <x:c r="T39" s="152"/>
      <x:c r="U39" s="204"/>
      <x:c r="V39" s="195"/>
      <x:c r="W39" s="195"/>
      <x:c r="X39" s="195"/>
    </x:row>
    <x:row r="40" s="33" customFormat="1" ht="15" customHeight="1">
      <x:c r="A40" s="59"/>
      <x:c r="B40" s="116"/>
      <x:c r="C40" s="54"/>
      <x:c r="D40" s="54"/>
      <x:c r="E40" s="225"/>
      <x:c r="F40" s="226"/>
      <x:c r="G40" s="226"/>
      <x:c r="H40" s="226"/>
      <x:c r="I40" s="777"/>
      <x:c r="J40" s="777"/>
      <x:c r="K40" s="777"/>
      <x:c r="L40" s="777"/>
      <x:c r="M40" s="777"/>
      <x:c r="N40" s="777"/>
      <x:c r="O40" s="777"/>
      <x:c r="P40" s="777"/>
      <x:c r="Q40" s="777"/>
      <x:c r="R40" s="777"/>
      <x:c r="S40" s="778"/>
      <x:c r="T40" s="152"/>
      <x:c r="U40" s="244"/>
      <x:c r="V40" s="254"/>
      <x:c r="W40" s="231"/>
      <x:c r="X40" s="53"/>
      <x:c r="Y40" s="34"/>
    </x:row>
    <x:row r="41" s="33" customFormat="1" ht="15" customHeight="1">
      <x:c r="A41" s="59"/>
      <x:c r="B41" s="116"/>
      <x:c r="C41" s="54"/>
      <x:c r="D41" s="54"/>
      <x:c r="E41" s="256" t="s">
        <x:v>98</x:v>
      </x:c>
      <x:c r="F41" s="256"/>
      <x:c r="G41" s="256"/>
      <x:c r="H41" s="256"/>
      <x:c r="I41" s="756" t="n">
        <x:f>'Costs &amp; Benefits'!J136</x:f>
        <x:v>-91864.60739268476</x:v>
      </x:c>
      <x:c r="J41" s="756" t="n">
        <x:f>'Costs &amp; Benefits'!K136</x:f>
        <x:v>118822.2290210331</x:v>
      </x:c>
      <x:c r="K41" s="756" t="n">
        <x:f t="shared" ref="K41:R41" si="6">'Costs &amp; Benefits'!L136</x:f>
        <x:v>430663.4488746514</x:v>
      </x:c>
      <x:c r="L41" s="756" t="n">
        <x:f t="shared" si="6">'Costs &amp; Benefits'!M136</x:f>
        <x:v>828321.5154568189</x:v>
      </x:c>
      <x:c r="M41" s="756" t="n">
        <x:f t="shared" si="6">'Costs &amp; Benefits'!N136</x:f>
        <x:v>1106739.8835012685</x:v>
      </x:c>
      <x:c r="N41" s="756" t="n">
        <x:f t="shared" si="6">'Costs &amp; Benefits'!O136</x:f>
        <x:v>1378718.9265652692</x:v>
      </x:c>
      <x:c r="O41" s="756" t="n">
        <x:f t="shared" si="6">'Costs &amp; Benefits'!P136</x:f>
        <x:v>1643937.161096801</x:v>
      </x:c>
      <x:c r="P41" s="756" t="n">
        <x:f t="shared" si="6">'Costs &amp; Benefits'!Q136</x:f>
        <x:v>1931772.1765649496</x:v>
      </x:c>
      <x:c r="Q41" s="756" t="n">
        <x:f t="shared" si="6">'Costs &amp; Benefits'!R136</x:f>
        <x:v>2236351.5778110055</x:v>
      </x:c>
      <x:c r="R41" s="756" t="n">
        <x:f t="shared" si="6">'Costs &amp; Benefits'!S136</x:f>
        <x:v>2524205.398359764</x:v>
      </x:c>
      <x:c r="S41" s="757" t="n">
        <x:f>'Costs &amp; Benefits'!I136</x:f>
        <x:v>2524205.398359764</x:v>
      </x:c>
      <x:c r="T41" s="152"/>
      <x:c r="U41" s="245"/>
      <x:c r="V41" s="54"/>
      <x:c r="W41" s="54"/>
      <x:c r="X41" s="54"/>
    </x:row>
    <x:row r="42" s="33" customFormat="1" ht="9" customHeight="1">
      <x:c r="A42" s="59"/>
      <x:c r="B42" s="116"/>
      <x:c r="C42" s="54"/>
      <x:c r="D42" s="54"/>
      <x:c r="E42" s="54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111"/>
      <x:c r="U42" s="245"/>
      <x:c r="V42" s="54"/>
      <x:c r="W42" s="54"/>
      <x:c r="X42" s="54"/>
    </x:row>
    <x:row r="43" s="33" customFormat="1" ht="15" customHeight="1">
      <x:c r="A43" s="59"/>
      <x:c r="B43" s="116"/>
      <x:c r="C43" s="54"/>
      <x:c r="D43" s="54"/>
      <x:c r="E43" s="223"/>
      <x:c r="F43" s="54"/>
      <x:c r="G43" s="54"/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144"/>
      <x:c r="U43" s="246"/>
      <x:c r="V43" s="54"/>
      <x:c r="W43" s="54"/>
      <x:c r="X43" s="54"/>
    </x:row>
    <x:row r="44" s="33" customFormat="1">
      <x:c r="A44" s="204"/>
      <x:c r="B44" s="234"/>
      <x:c r="C44" s="194"/>
      <x:c r="D44" s="194"/>
      <x:c r="E44" s="194"/>
      <x:c r="F44" s="339" t="s">
        <x:v>99</x:v>
      </x:c>
      <x:c r="G44" s="339"/>
      <x:c r="H44" s="339"/>
      <x:c r="I44" s="96" t="s">
        <x:v>100</x:v>
      </x:c>
      <x:c r="J44" s="255" t="n">
        <x:f>+VLOOKUP(J7,'Selection lists'!$A$2:$C$50,2,FALSE)</x:f>
        <x:v>0.2693868692901478</x:v>
      </x:c>
      <x:c r="K44" s="96" t="s">
        <x:v>101</x:v>
      </x:c>
      <x:c r="L44" s="255" t="n">
        <x:f>+VLOOKUP(J7,'Selection lists'!$A$2:$C$50,3,FALSE)</x:f>
        <x:v>0.058104424896679725</x:v>
      </x:c>
      <x:c r="M44" s="194"/>
      <x:c r="N44" s="194"/>
      <x:c r="O44" s="194"/>
      <x:c r="P44" s="194"/>
      <x:c r="Q44" s="194"/>
      <x:c r="R44" s="194"/>
      <x:c r="S44" s="194"/>
      <x:c r="T44" s="194"/>
      <x:c r="U44" s="60"/>
      <x:c r="V44" s="54"/>
      <x:c r="W44" s="54"/>
      <x:c r="X44" s="54"/>
      <x:c r="Y44" s="34"/>
    </x:row>
    <x:row r="45" s="33" customFormat="1">
      <x:c r="A45" s="204"/>
      <x:c r="B45" s="242"/>
      <x:c r="C45" s="239"/>
      <x:c r="D45" s="239"/>
      <x:c r="E45" s="239"/>
      <x:c r="F45" s="240"/>
      <x:c r="G45" s="240"/>
      <x:c r="H45" s="239"/>
      <x:c r="I45" s="239"/>
      <x:c r="J45" s="239"/>
      <x:c r="K45" s="239"/>
      <x:c r="L45" s="239"/>
      <x:c r="M45" s="239"/>
      <x:c r="N45" s="239"/>
      <x:c r="O45" s="239"/>
      <x:c r="P45" s="239"/>
      <x:c r="Q45" s="239"/>
      <x:c r="R45" s="239"/>
      <x:c r="S45" s="239"/>
      <x:c r="T45" s="241"/>
      <x:c r="U45" s="59"/>
      <x:c r="V45" s="54"/>
      <x:c r="W45" s="54"/>
      <x:c r="X45" s="54"/>
      <x:c r="Y45" s="34"/>
    </x:row>
    <x:row r="46" ht="12.75" customHeight="1">
      <x:c r="A46" s="204"/>
      <x:c r="B46" s="204"/>
      <x:c r="C46" s="204"/>
      <x:c r="D46" s="204"/>
      <x:c r="E46" s="204"/>
      <x:c r="F46" s="204"/>
      <x:c r="G46" s="204"/>
      <x:c r="H46" s="204"/>
      <x:c r="I46" s="204"/>
      <x:c r="J46" s="204"/>
      <x:c r="K46" s="204"/>
      <x:c r="L46" s="204"/>
      <x:c r="M46" s="204"/>
      <x:c r="N46" s="204"/>
      <x:c r="O46" s="204"/>
      <x:c r="P46" s="204"/>
      <x:c r="Q46" s="204"/>
      <x:c r="R46" s="253"/>
      <x:c r="S46" s="204"/>
      <x:c r="T46" s="204"/>
      <x:c r="U46" s="204"/>
      <x:c r="V46" s="195"/>
      <x:c r="W46" s="195"/>
      <x:c r="X46" s="195"/>
    </x:row>
    <x:row r="47" ht="12.75" customHeight="1">
      <x:c r="A47" s="204"/>
      <x:c r="B47" s="249"/>
      <x:c r="C47" s="232"/>
      <x:c r="D47" s="232"/>
      <x:c r="E47" s="232"/>
      <x:c r="F47" s="232"/>
      <x:c r="G47" s="232"/>
      <x:c r="H47" s="232"/>
      <x:c r="I47" s="232"/>
      <x:c r="J47" s="232"/>
      <x:c r="K47" s="232"/>
      <x:c r="L47" s="232"/>
      <x:c r="M47" s="232"/>
      <x:c r="N47" s="232"/>
      <x:c r="O47" s="232"/>
      <x:c r="P47" s="232"/>
      <x:c r="Q47" s="232"/>
      <x:c r="R47" s="250"/>
      <x:c r="S47" s="232"/>
      <x:c r="T47" s="233"/>
      <x:c r="U47" s="204"/>
      <x:c r="V47" s="195"/>
      <x:c r="W47" s="195"/>
      <x:c r="X47" s="195"/>
    </x:row>
    <x:row r="48" ht="15" customHeight="1">
      <x:c r="A48" s="204"/>
      <x:c r="B48" s="251"/>
      <x:c r="C48" s="72" t="s">
        <x:v>102</x:v>
      </x:c>
      <x:c r="D48" s="224"/>
      <x:c r="E48" s="264"/>
      <x:c r="F48" s="264"/>
      <x:c r="G48" s="264"/>
      <x:c r="H48" s="264"/>
      <x:c r="I48" s="265"/>
      <x:c r="J48" s="195"/>
      <x:c r="K48" s="194"/>
      <x:c r="L48" s="194"/>
      <x:c r="M48" s="194"/>
      <x:c r="N48" s="194"/>
      <x:c r="O48" s="194"/>
      <x:c r="P48" s="194"/>
      <x:c r="Q48" s="194"/>
      <x:c r="R48" s="199"/>
      <x:c r="S48" s="194"/>
      <x:c r="T48" s="235"/>
      <x:c r="U48" s="204"/>
    </x:row>
    <x:row r="49" ht="12.75" customHeight="1">
      <x:c r="A49" s="205"/>
      <x:c r="B49" s="251"/>
      <x:c r="C49" s="194"/>
      <x:c r="D49" s="194"/>
      <x:c r="E49" s="224"/>
      <x:c r="F49" s="336" t="s">
        <x:v>103</x:v>
      </x:c>
      <x:c r="G49" s="336"/>
      <x:c r="H49" s="336"/>
      <x:c r="I49" s="727" t="n">
        <x:f>S19</x:f>
        <x:v>1536974.5999999999</x:v>
      </x:c>
      <x:c r="J49" s="194"/>
      <x:c r="K49" s="194"/>
      <x:c r="L49" s="194"/>
      <x:c r="M49" s="194"/>
      <x:c r="N49" s="194"/>
      <x:c r="O49" s="194"/>
      <x:c r="P49" s="194"/>
      <x:c r="Q49" s="194"/>
      <x:c r="R49" s="194"/>
      <x:c r="S49" s="194"/>
      <x:c r="T49" s="235"/>
      <x:c r="U49" s="204"/>
    </x:row>
    <x:row r="50" ht="12.75" customHeight="1">
      <x:c r="A50" s="205"/>
      <x:c r="B50" s="251"/>
      <x:c r="C50" s="194"/>
      <x:c r="D50" s="194"/>
      <x:c r="E50" s="224"/>
      <x:c r="F50" s="336" t="s">
        <x:v>104</x:v>
      </x:c>
      <x:c r="G50" s="336"/>
      <x:c r="H50" s="336"/>
      <x:c r="I50" s="727" t="n">
        <x:f>S22</x:f>
        <x:v>6370000</x:v>
      </x:c>
      <x:c r="J50" s="194"/>
      <x:c r="K50" s="194"/>
      <x:c r="L50" s="194"/>
      <x:c r="M50" s="194"/>
      <x:c r="N50" s="194"/>
      <x:c r="O50" s="194"/>
      <x:c r="P50" s="194"/>
      <x:c r="Q50" s="194"/>
      <x:c r="R50" s="194"/>
      <x:c r="S50" s="194"/>
      <x:c r="T50" s="235"/>
      <x:c r="U50" s="204"/>
    </x:row>
    <x:row r="51" ht="12.75" customHeight="1">
      <x:c r="A51" s="205"/>
      <x:c r="B51" s="251"/>
      <x:c r="C51" s="194"/>
      <x:c r="D51" s="194"/>
      <x:c r="E51" s="224"/>
      <x:c r="F51" s="336" t="s">
        <x:v>105</x:v>
      </x:c>
      <x:c r="G51" s="336"/>
      <x:c r="H51" s="336"/>
      <x:c r="I51" s="727" t="n">
        <x:f>S24</x:f>
        <x:v>4833025.4</x:v>
      </x:c>
      <x:c r="J51" s="194"/>
      <x:c r="K51" s="194"/>
      <x:c r="L51" s="194"/>
      <x:c r="M51" s="194"/>
      <x:c r="N51" s="194"/>
      <x:c r="O51" s="194"/>
      <x:c r="P51" s="194"/>
      <x:c r="Q51" s="194"/>
      <x:c r="R51" s="194"/>
      <x:c r="S51" s="194"/>
      <x:c r="T51" s="235"/>
      <x:c r="U51" s="204"/>
    </x:row>
    <x:row r="52" ht="12.75" customHeight="1">
      <x:c r="A52" s="205"/>
      <x:c r="B52" s="251"/>
      <x:c r="C52" s="194"/>
      <x:c r="D52" s="194"/>
      <x:c r="E52" s="224"/>
      <x:c r="F52" s="336" t="s">
        <x:v>106</x:v>
      </x:c>
      <x:c r="G52" s="336"/>
      <x:c r="H52" s="336"/>
      <x:c r="I52" s="727" t="n">
        <x:f>S39</x:f>
        <x:v>2524205.398359764</x:v>
      </x:c>
      <x:c r="J52" s="194"/>
      <x:c r="K52" s="194"/>
      <x:c r="L52" s="194"/>
      <x:c r="M52" s="194"/>
      <x:c r="N52" s="194"/>
      <x:c r="O52" s="194"/>
      <x:c r="P52" s="194"/>
      <x:c r="Q52" s="194"/>
      <x:c r="R52" s="194"/>
      <x:c r="S52" s="194"/>
      <x:c r="T52" s="235"/>
      <x:c r="U52" s="204"/>
    </x:row>
    <x:row r="53" ht="12.75" customHeight="1">
      <x:c r="A53" s="205"/>
      <x:c r="B53" s="251"/>
      <x:c r="C53" s="194"/>
      <x:c r="D53" s="194"/>
      <x:c r="E53" s="224"/>
      <x:c r="F53" s="336" t="s">
        <x:v>63</x:v>
      </x:c>
      <x:c r="G53" s="336"/>
      <x:c r="H53" s="337"/>
      <x:c r="I53" s="792" t="n">
        <x:f>IFERROR(S41/'Costs &amp; Benefits'!I147,"")</x:f>
        <x:v>3.155256747949705</x:v>
      </x:c>
      <x:c r="J53" s="194"/>
      <x:c r="K53" s="194"/>
      <x:c r="L53" s="194"/>
      <x:c r="M53" s="194"/>
      <x:c r="N53" s="194"/>
      <x:c r="O53" s="194"/>
      <x:c r="P53" s="194"/>
      <x:c r="Q53" s="194"/>
      <x:c r="R53" s="194"/>
      <x:c r="S53" s="194"/>
      <x:c r="T53" s="235"/>
      <x:c r="U53" s="204"/>
    </x:row>
    <x:row r="54" ht="12.75" customHeight="1">
      <x:c r="A54" s="205"/>
      <x:c r="B54" s="251"/>
      <x:c r="C54" s="194"/>
      <x:c r="D54" s="194"/>
      <x:c r="E54" s="224"/>
      <x:c r="F54" s="336" t="s">
        <x:v>107</x:v>
      </x:c>
      <x:c r="G54" s="336"/>
      <x:c r="H54" s="337"/>
      <x:c r="I54" s="315" t="str">
        <x:f>IF('Costs &amp; Benefits'!I142="n/a","n/a",'Costs &amp; Benefits'!I145&amp;"Y "&amp;'Costs &amp; Benefits'!I146&amp;"M")</x:f>
        <x:v>1Y 8M</x:v>
      </x:c>
      <x:c r="J54" s="194"/>
      <x:c r="K54" s="194"/>
      <x:c r="L54" s="194"/>
      <x:c r="M54" s="194"/>
      <x:c r="N54" s="194"/>
      <x:c r="O54" s="194"/>
      <x:c r="P54" s="194"/>
      <x:c r="Q54" s="194"/>
      <x:c r="R54" s="194"/>
      <x:c r="S54" s="194"/>
      <x:c r="T54" s="235"/>
      <x:c r="U54" s="204"/>
    </x:row>
    <x:row r="55">
      <x:c r="A55" s="205"/>
      <x:c r="B55" s="252"/>
      <x:c r="C55" s="239"/>
      <x:c r="D55" s="239"/>
      <x:c r="E55" s="239"/>
      <x:c r="F55" s="239"/>
      <x:c r="G55" s="239"/>
      <x:c r="H55" s="239"/>
      <x:c r="I55" s="239"/>
      <x:c r="J55" s="239"/>
      <x:c r="K55" s="239"/>
      <x:c r="L55" s="239"/>
      <x:c r="M55" s="239"/>
      <x:c r="N55" s="239"/>
      <x:c r="O55" s="239"/>
      <x:c r="P55" s="239"/>
      <x:c r="Q55" s="239"/>
      <x:c r="R55" s="239"/>
      <x:c r="S55" s="239"/>
      <x:c r="T55" s="241"/>
      <x:c r="U55" s="204"/>
    </x:row>
    <x:row r="56">
      <x:c r="A56" s="205"/>
      <x:c r="B56" s="205"/>
      <x:c r="C56" s="205"/>
      <x:c r="D56" s="205"/>
      <x:c r="E56" s="205"/>
      <x:c r="F56" s="205"/>
      <x:c r="G56" s="205"/>
      <x:c r="H56" s="205"/>
      <x:c r="I56" s="205"/>
      <x:c r="J56" s="205"/>
      <x:c r="K56" s="205"/>
      <x:c r="L56" s="205"/>
      <x:c r="M56" s="205"/>
      <x:c r="N56" s="205"/>
      <x:c r="O56" s="205"/>
      <x:c r="P56" s="205"/>
      <x:c r="Q56" s="205"/>
      <x:c r="R56" s="205"/>
      <x:c r="S56" s="205"/>
      <x:c r="T56" s="204"/>
      <x:c r="U56" s="204"/>
    </x:row>
    <x:row r="57">
      <x:c r="A57" s="204"/>
      <x:c r="U57" s="204"/>
    </x:row>
    <x:row r="58" ht="15" customHeight="1">
      <x:c r="A58" s="204"/>
      <x:c r="C58" s="72" t="s">
        <x:v>108</x:v>
      </x:c>
      <x:c r="D58" s="224"/>
      <x:c r="E58" s="224"/>
      <x:c r="F58" s="224"/>
      <x:c r="G58" s="224"/>
      <x:c r="H58" s="224"/>
      <x:c r="I58" s="224"/>
      <x:c r="J58" s="224"/>
      <x:c r="K58" s="194"/>
      <x:c r="L58" s="194"/>
      <x:c r="M58" s="194"/>
      <x:c r="N58" s="194"/>
      <x:c r="O58" s="194"/>
      <x:c r="P58" s="194"/>
      <x:c r="Q58" s="194"/>
      <x:c r="R58" s="194"/>
      <x:c r="S58" s="194"/>
      <x:c r="U58" s="204"/>
    </x:row>
    <x:row r="59">
      <x:c r="A59" s="204"/>
      <x:c r="B59" s="194"/>
      <x:c r="C59" s="194"/>
      <x:c r="D59" s="194"/>
      <x:c r="F59" s="194"/>
      <x:c r="G59" s="194"/>
      <x:c r="H59" s="194"/>
      <x:c r="I59" s="194"/>
      <x:c r="J59" s="194"/>
      <x:c r="K59" s="194"/>
      <x:c r="L59" s="194"/>
      <x:c r="M59" s="194"/>
      <x:c r="N59" s="194"/>
      <x:c r="O59" s="194"/>
      <x:c r="P59" s="194"/>
      <x:c r="Q59" s="194"/>
      <x:c r="R59" s="194"/>
      <x:c r="S59" s="194"/>
      <x:c r="T59" s="194"/>
      <x:c r="U59" s="204"/>
    </x:row>
    <x:row r="60">
      <x:c r="A60" s="204"/>
      <x:c r="B60" s="194"/>
      <x:c r="C60" s="194"/>
      <x:c r="D60" s="194"/>
      <x:c r="E60" s="194"/>
      <x:c r="F60" s="194"/>
      <x:c r="G60" s="194"/>
      <x:c r="H60" s="194"/>
      <x:c r="I60" s="194"/>
      <x:c r="J60" s="194"/>
      <x:c r="K60" s="194"/>
      <x:c r="L60" s="194"/>
      <x:c r="M60" s="194"/>
      <x:c r="N60" s="194"/>
      <x:c r="O60" s="194"/>
      <x:c r="P60" s="194"/>
      <x:c r="Q60" s="194"/>
      <x:c r="R60" s="194"/>
      <x:c r="S60" s="194"/>
      <x:c r="T60" s="194"/>
      <x:c r="U60" s="204"/>
    </x:row>
    <x:row r="61">
      <x:c r="A61" s="204"/>
      <x:c r="B61" s="194"/>
      <x:c r="C61" s="194"/>
      <x:c r="D61" s="194"/>
      <x:c r="E61" s="194"/>
      <x:c r="F61" s="194"/>
      <x:c r="G61" s="194"/>
      <x:c r="H61" s="194"/>
      <x:c r="I61" s="194"/>
      <x:c r="J61" s="194"/>
      <x:c r="K61" s="194"/>
      <x:c r="L61" s="194"/>
      <x:c r="M61" s="194"/>
      <x:c r="N61" s="194"/>
      <x:c r="O61" s="194"/>
      <x:c r="P61" s="194"/>
      <x:c r="Q61" s="194"/>
      <x:c r="R61" s="194"/>
      <x:c r="S61" s="194"/>
      <x:c r="T61" s="194"/>
      <x:c r="U61" s="204"/>
    </x:row>
    <x:row r="62">
      <x:c r="A62" s="204"/>
      <x:c r="B62" s="194"/>
      <x:c r="C62" s="194"/>
      <x:c r="D62" s="194"/>
      <x:c r="E62" s="194"/>
      <x:c r="F62" s="194"/>
      <x:c r="G62" s="194"/>
      <x:c r="H62" s="194"/>
      <x:c r="I62" s="194"/>
      <x:c r="J62" s="194"/>
      <x:c r="K62" s="194"/>
      <x:c r="L62" s="194"/>
      <x:c r="M62" s="194"/>
      <x:c r="N62" s="194"/>
      <x:c r="O62" s="194"/>
      <x:c r="P62" s="194"/>
      <x:c r="Q62" s="194"/>
      <x:c r="R62" s="194"/>
      <x:c r="S62" s="194"/>
      <x:c r="T62" s="194"/>
      <x:c r="U62" s="204"/>
    </x:row>
    <x:row r="63">
      <x:c r="A63" s="204"/>
      <x:c r="B63" s="194"/>
      <x:c r="C63" s="194"/>
      <x:c r="D63" s="194"/>
      <x:c r="E63" s="194"/>
      <x:c r="F63" s="194"/>
      <x:c r="G63" s="194"/>
      <x:c r="H63" s="194"/>
      <x:c r="I63" s="194"/>
      <x:c r="J63" s="194"/>
      <x:c r="K63" s="194"/>
      <x:c r="L63" s="194"/>
      <x:c r="M63" s="194"/>
      <x:c r="N63" s="194"/>
      <x:c r="O63" s="194"/>
      <x:c r="P63" s="194"/>
      <x:c r="Q63" s="194"/>
      <x:c r="R63" s="194"/>
      <x:c r="S63" s="194"/>
      <x:c r="T63" s="194"/>
      <x:c r="U63" s="204"/>
    </x:row>
    <x:row r="64">
      <x:c r="A64" s="204"/>
      <x:c r="B64" s="194"/>
      <x:c r="C64" s="194"/>
      <x:c r="D64" s="194"/>
      <x:c r="E64" s="194"/>
      <x:c r="F64" s="194"/>
      <x:c r="G64" s="194"/>
      <x:c r="H64" s="194"/>
      <x:c r="I64" s="194"/>
      <x:c r="J64" s="194"/>
      <x:c r="K64" s="194"/>
      <x:c r="L64" s="194"/>
      <x:c r="M64" s="194"/>
      <x:c r="N64" s="194"/>
      <x:c r="O64" s="194"/>
      <x:c r="P64" s="194"/>
      <x:c r="Q64" s="194"/>
      <x:c r="R64" s="194"/>
      <x:c r="S64" s="194"/>
      <x:c r="T64" s="194"/>
      <x:c r="U64" s="204"/>
    </x:row>
    <x:row r="65">
      <x:c r="A65" s="204"/>
      <x:c r="B65" s="194"/>
      <x:c r="C65" s="194"/>
      <x:c r="D65" s="194"/>
      <x:c r="E65" s="194"/>
      <x:c r="F65" s="194"/>
      <x:c r="G65" s="194"/>
      <x:c r="H65" s="194"/>
      <x:c r="I65" s="194"/>
      <x:c r="J65" s="194"/>
      <x:c r="K65" s="194"/>
      <x:c r="L65" s="194"/>
      <x:c r="M65" s="194"/>
      <x:c r="N65" s="194"/>
      <x:c r="O65" s="194"/>
      <x:c r="P65" s="194"/>
      <x:c r="Q65" s="194"/>
      <x:c r="R65" s="194"/>
      <x:c r="S65" s="194"/>
      <x:c r="T65" s="194"/>
      <x:c r="U65" s="204"/>
    </x:row>
    <x:row r="66">
      <x:c r="A66" s="204"/>
      <x:c r="B66" s="194"/>
      <x:c r="C66" s="194"/>
      <x:c r="D66" s="194"/>
      <x:c r="E66" s="194"/>
      <x:c r="F66" s="194"/>
      <x:c r="G66" s="194"/>
      <x:c r="H66" s="194"/>
      <x:c r="I66" s="194"/>
      <x:c r="J66" s="194"/>
      <x:c r="K66" s="194"/>
      <x:c r="L66" s="194"/>
      <x:c r="M66" s="194"/>
      <x:c r="N66" s="194"/>
      <x:c r="O66" s="194"/>
      <x:c r="P66" s="194"/>
      <x:c r="Q66" s="194"/>
      <x:c r="R66" s="194"/>
      <x:c r="S66" s="194"/>
      <x:c r="T66" s="194"/>
      <x:c r="U66" s="204"/>
    </x:row>
    <x:row r="67">
      <x:c r="A67" s="204"/>
      <x:c r="B67" s="194"/>
      <x:c r="C67" s="194"/>
      <x:c r="D67" s="194"/>
      <x:c r="E67" s="194"/>
      <x:c r="F67" s="194"/>
      <x:c r="G67" s="194"/>
      <x:c r="H67" s="194"/>
      <x:c r="I67" s="194"/>
      <x:c r="J67" s="194"/>
      <x:c r="K67" s="194"/>
      <x:c r="L67" s="194"/>
      <x:c r="M67" s="194"/>
      <x:c r="N67" s="194"/>
      <x:c r="O67" s="194"/>
      <x:c r="P67" s="194"/>
      <x:c r="Q67" s="194"/>
      <x:c r="R67" s="194"/>
      <x:c r="S67" s="194"/>
      <x:c r="T67" s="194"/>
      <x:c r="U67" s="204"/>
    </x:row>
    <x:row r="68">
      <x:c r="A68" s="204"/>
      <x:c r="B68" s="194"/>
      <x:c r="C68" s="194"/>
      <x:c r="D68" s="194"/>
      <x:c r="E68" s="194"/>
      <x:c r="F68" s="194"/>
      <x:c r="G68" s="194"/>
      <x:c r="H68" s="194"/>
      <x:c r="I68" s="194"/>
      <x:c r="J68" s="194"/>
      <x:c r="K68" s="194"/>
      <x:c r="L68" s="194"/>
      <x:c r="M68" s="194"/>
      <x:c r="N68" s="194"/>
      <x:c r="O68" s="194"/>
      <x:c r="P68" s="194"/>
      <x:c r="Q68" s="194"/>
      <x:c r="R68" s="194"/>
      <x:c r="S68" s="194"/>
      <x:c r="T68" s="194"/>
      <x:c r="U68" s="204"/>
    </x:row>
    <x:row r="69">
      <x:c r="A69" s="204"/>
      <x:c r="B69" s="194"/>
      <x:c r="C69" s="194"/>
      <x:c r="D69" s="194"/>
      <x:c r="E69" s="194"/>
      <x:c r="F69" s="194"/>
      <x:c r="G69" s="194"/>
      <x:c r="H69" s="194"/>
      <x:c r="I69" s="194"/>
      <x:c r="J69" s="194"/>
      <x:c r="K69" s="194"/>
      <x:c r="L69" s="194"/>
      <x:c r="M69" s="194"/>
      <x:c r="N69" s="194"/>
      <x:c r="O69" s="194"/>
      <x:c r="P69" s="194"/>
      <x:c r="Q69" s="194"/>
      <x:c r="R69" s="194"/>
      <x:c r="S69" s="194"/>
      <x:c r="T69" s="194"/>
      <x:c r="U69" s="204"/>
    </x:row>
    <x:row r="70">
      <x:c r="A70" s="204"/>
      <x:c r="B70" s="194"/>
      <x:c r="C70" s="194"/>
      <x:c r="D70" s="194"/>
      <x:c r="E70" s="194"/>
      <x:c r="F70" s="194"/>
      <x:c r="G70" s="194"/>
      <x:c r="H70" s="194"/>
      <x:c r="I70" s="194"/>
      <x:c r="J70" s="194"/>
      <x:c r="K70" s="194"/>
      <x:c r="L70" s="194"/>
      <x:c r="M70" s="194"/>
      <x:c r="N70" s="194"/>
      <x:c r="O70" s="194"/>
      <x:c r="P70" s="194"/>
      <x:c r="Q70" s="194"/>
      <x:c r="R70" s="194"/>
      <x:c r="S70" s="194"/>
      <x:c r="T70" s="194"/>
      <x:c r="U70" s="204"/>
    </x:row>
    <x:row r="71">
      <x:c r="A71" s="204"/>
      <x:c r="B71" s="194"/>
      <x:c r="C71" s="194"/>
      <x:c r="D71" s="194"/>
      <x:c r="E71" s="194"/>
      <x:c r="F71" s="194"/>
      <x:c r="G71" s="194"/>
      <x:c r="H71" s="194"/>
      <x:c r="I71" s="194"/>
      <x:c r="J71" s="194"/>
      <x:c r="K71" s="194"/>
      <x:c r="L71" s="194"/>
      <x:c r="M71" s="194"/>
      <x:c r="N71" s="194"/>
      <x:c r="O71" s="194"/>
      <x:c r="P71" s="194"/>
      <x:c r="Q71" s="194"/>
      <x:c r="R71" s="194"/>
      <x:c r="S71" s="194"/>
      <x:c r="T71" s="194"/>
      <x:c r="U71" s="204"/>
    </x:row>
    <x:row r="72">
      <x:c r="A72" s="204"/>
      <x:c r="B72" s="194"/>
      <x:c r="C72" s="194"/>
      <x:c r="D72" s="194"/>
      <x:c r="E72" s="194"/>
      <x:c r="F72" s="194"/>
      <x:c r="G72" s="194"/>
      <x:c r="H72" s="194"/>
      <x:c r="I72" s="194"/>
      <x:c r="J72" s="194"/>
      <x:c r="K72" s="194"/>
      <x:c r="L72" s="194"/>
      <x:c r="M72" s="194"/>
      <x:c r="N72" s="194"/>
      <x:c r="O72" s="194"/>
      <x:c r="P72" s="194"/>
      <x:c r="Q72" s="194"/>
      <x:c r="R72" s="194"/>
      <x:c r="S72" s="194"/>
      <x:c r="T72" s="194"/>
      <x:c r="U72" s="204"/>
    </x:row>
    <x:row r="73">
      <x:c r="A73" s="204"/>
      <x:c r="B73" s="194"/>
      <x:c r="C73" s="194"/>
      <x:c r="D73" s="194"/>
      <x:c r="E73" s="194"/>
      <x:c r="F73" s="194"/>
      <x:c r="G73" s="194"/>
      <x:c r="H73" s="194"/>
      <x:c r="I73" s="194"/>
      <x:c r="J73" s="194"/>
      <x:c r="K73" s="194"/>
      <x:c r="L73" s="194"/>
      <x:c r="M73" s="194"/>
      <x:c r="N73" s="194"/>
      <x:c r="O73" s="194"/>
      <x:c r="P73" s="194"/>
      <x:c r="Q73" s="194"/>
      <x:c r="R73" s="194"/>
      <x:c r="S73" s="194"/>
      <x:c r="T73" s="194"/>
      <x:c r="U73" s="204"/>
    </x:row>
    <x:row r="74">
      <x:c r="A74" s="204"/>
      <x:c r="B74" s="194"/>
      <x:c r="C74" s="194"/>
      <x:c r="D74" s="194"/>
      <x:c r="E74" s="194"/>
      <x:c r="F74" s="194"/>
      <x:c r="G74" s="194"/>
      <x:c r="H74" s="194"/>
      <x:c r="I74" s="194"/>
      <x:c r="J74" s="194"/>
      <x:c r="K74" s="194"/>
      <x:c r="L74" s="194"/>
      <x:c r="M74" s="194"/>
      <x:c r="N74" s="194"/>
      <x:c r="O74" s="194"/>
      <x:c r="P74" s="194"/>
      <x:c r="Q74" s="194"/>
      <x:c r="R74" s="194"/>
      <x:c r="S74" s="194"/>
      <x:c r="T74" s="194"/>
      <x:c r="U74" s="204"/>
    </x:row>
    <x:row r="75">
      <x:c r="A75" s="204"/>
      <x:c r="B75" s="194"/>
      <x:c r="C75" s="194"/>
      <x:c r="D75" s="194"/>
      <x:c r="E75" s="194"/>
      <x:c r="F75" s="194"/>
      <x:c r="G75" s="194"/>
      <x:c r="H75" s="194"/>
      <x:c r="I75" s="194"/>
      <x:c r="J75" s="194"/>
      <x:c r="K75" s="194"/>
      <x:c r="L75" s="194"/>
      <x:c r="M75" s="194"/>
      <x:c r="N75" s="194"/>
      <x:c r="O75" s="194"/>
      <x:c r="P75" s="194"/>
      <x:c r="Q75" s="194"/>
      <x:c r="R75" s="194"/>
      <x:c r="S75" s="194"/>
      <x:c r="T75" s="194"/>
      <x:c r="U75" s="204"/>
    </x:row>
    <x:row r="76">
      <x:c r="A76" s="204"/>
      <x:c r="B76" s="194"/>
      <x:c r="C76" s="194"/>
      <x:c r="D76" s="194"/>
      <x:c r="E76" s="194"/>
      <x:c r="F76" s="194"/>
      <x:c r="G76" s="194"/>
      <x:c r="H76" s="194"/>
      <x:c r="I76" s="194"/>
      <x:c r="J76" s="194"/>
      <x:c r="K76" s="194"/>
      <x:c r="L76" s="194"/>
      <x:c r="M76" s="194"/>
      <x:c r="N76" s="194"/>
      <x:c r="O76" s="194"/>
      <x:c r="P76" s="194"/>
      <x:c r="Q76" s="194"/>
      <x:c r="R76" s="194"/>
      <x:c r="S76" s="194"/>
      <x:c r="T76" s="194"/>
      <x:c r="U76" s="204"/>
    </x:row>
    <x:row r="77">
      <x:c r="A77" s="204"/>
      <x:c r="B77" s="194"/>
      <x:c r="C77" s="194"/>
      <x:c r="D77" s="194"/>
      <x:c r="E77" s="194"/>
      <x:c r="F77" s="194"/>
      <x:c r="G77" s="194"/>
      <x:c r="H77" s="194"/>
      <x:c r="I77" s="194"/>
      <x:c r="J77" s="194"/>
      <x:c r="K77" s="194"/>
      <x:c r="L77" s="194"/>
      <x:c r="M77" s="194"/>
      <x:c r="N77" s="194"/>
      <x:c r="O77" s="194"/>
      <x:c r="P77" s="194"/>
      <x:c r="Q77" s="194"/>
      <x:c r="R77" s="194"/>
      <x:c r="S77" s="194"/>
      <x:c r="T77" s="194"/>
      <x:c r="U77" s="204"/>
    </x:row>
    <x:row r="78">
      <x:c r="A78" s="204"/>
      <x:c r="B78" s="194"/>
      <x:c r="C78" s="194"/>
      <x:c r="D78" s="194"/>
      <x:c r="E78" s="194"/>
      <x:c r="F78" s="194"/>
      <x:c r="G78" s="194"/>
      <x:c r="H78" s="194"/>
      <x:c r="I78" s="194"/>
      <x:c r="J78" s="194"/>
      <x:c r="K78" s="194"/>
      <x:c r="L78" s="194"/>
      <x:c r="M78" s="194"/>
      <x:c r="N78" s="194"/>
      <x:c r="O78" s="194"/>
      <x:c r="P78" s="194"/>
      <x:c r="Q78" s="194"/>
      <x:c r="R78" s="194"/>
      <x:c r="S78" s="194"/>
      <x:c r="T78" s="194"/>
      <x:c r="U78" s="204"/>
    </x:row>
    <x:row r="79">
      <x:c r="A79" s="204"/>
      <x:c r="B79" s="194"/>
      <x:c r="C79" s="194"/>
      <x:c r="D79" s="194"/>
      <x:c r="E79" s="194"/>
      <x:c r="F79" s="194"/>
      <x:c r="G79" s="194"/>
      <x:c r="H79" s="194"/>
      <x:c r="I79" s="194"/>
      <x:c r="J79" s="194"/>
      <x:c r="K79" s="194"/>
      <x:c r="L79" s="194"/>
      <x:c r="M79" s="194"/>
      <x:c r="N79" s="194"/>
      <x:c r="O79" s="194"/>
      <x:c r="P79" s="194"/>
      <x:c r="Q79" s="194"/>
      <x:c r="R79" s="194"/>
      <x:c r="S79" s="194"/>
      <x:c r="T79" s="194"/>
      <x:c r="U79" s="204"/>
    </x:row>
    <x:row r="80">
      <x:c r="A80" s="204"/>
      <x:c r="B80" s="194"/>
      <x:c r="C80" s="194"/>
      <x:c r="D80" s="194"/>
      <x:c r="E80" s="194"/>
      <x:c r="F80" s="194"/>
      <x:c r="G80" s="194"/>
      <x:c r="H80" s="194"/>
      <x:c r="I80" s="194"/>
      <x:c r="J80" s="194"/>
      <x:c r="K80" s="194"/>
      <x:c r="L80" s="194"/>
      <x:c r="M80" s="194"/>
      <x:c r="N80" s="194"/>
      <x:c r="O80" s="194"/>
      <x:c r="P80" s="194"/>
      <x:c r="Q80" s="194"/>
      <x:c r="R80" s="194"/>
      <x:c r="S80" s="194"/>
      <x:c r="T80" s="194"/>
      <x:c r="U80" s="204"/>
    </x:row>
    <x:row r="81">
      <x:c r="A81" s="204"/>
      <x:c r="B81" s="194"/>
      <x:c r="C81" s="194"/>
      <x:c r="D81" s="194"/>
      <x:c r="E81" s="194"/>
      <x:c r="F81" s="194"/>
      <x:c r="G81" s="194"/>
      <x:c r="H81" s="194"/>
      <x:c r="I81" s="194"/>
      <x:c r="J81" s="194"/>
      <x:c r="K81" s="194"/>
      <x:c r="L81" s="194"/>
      <x:c r="M81" s="194"/>
      <x:c r="N81" s="194"/>
      <x:c r="O81" s="194"/>
      <x:c r="P81" s="194"/>
      <x:c r="Q81" s="194"/>
      <x:c r="R81" s="194"/>
      <x:c r="S81" s="194"/>
      <x:c r="T81" s="194"/>
      <x:c r="U81" s="204"/>
    </x:row>
    <x:row r="82">
      <x:c r="A82" s="204"/>
      <x:c r="B82" s="194"/>
      <x:c r="C82" s="194"/>
      <x:c r="D82" s="194"/>
      <x:c r="E82" s="194"/>
      <x:c r="F82" s="194"/>
      <x:c r="G82" s="194"/>
      <x:c r="H82" s="194"/>
      <x:c r="I82" s="194"/>
      <x:c r="J82" s="194"/>
      <x:c r="K82" s="194"/>
      <x:c r="L82" s="194"/>
      <x:c r="M82" s="194"/>
      <x:c r="N82" s="194"/>
      <x:c r="O82" s="194"/>
      <x:c r="P82" s="194"/>
      <x:c r="Q82" s="194"/>
      <x:c r="R82" s="194"/>
      <x:c r="S82" s="194"/>
      <x:c r="T82" s="194"/>
      <x:c r="U82" s="204"/>
    </x:row>
    <x:row r="83">
      <x:c r="A83" s="204"/>
      <x:c r="B83" s="194"/>
      <x:c r="C83" s="194"/>
      <x:c r="D83" s="194"/>
      <x:c r="E83" s="194"/>
      <x:c r="F83" s="194"/>
      <x:c r="G83" s="194"/>
      <x:c r="H83" s="194"/>
      <x:c r="I83" s="194"/>
      <x:c r="J83" s="194"/>
      <x:c r="K83" s="194"/>
      <x:c r="L83" s="194"/>
      <x:c r="M83" s="194"/>
      <x:c r="N83" s="194"/>
      <x:c r="O83" s="194"/>
      <x:c r="P83" s="194"/>
      <x:c r="Q83" s="194"/>
      <x:c r="R83" s="194"/>
      <x:c r="S83" s="194"/>
      <x:c r="T83" s="194"/>
      <x:c r="U83" s="204"/>
    </x:row>
    <x:row r="84">
      <x:c r="A84" s="204"/>
      <x:c r="B84" s="194"/>
      <x:c r="C84" s="194"/>
      <x:c r="D84" s="194"/>
      <x:c r="E84" s="194"/>
      <x:c r="F84" s="194"/>
      <x:c r="G84" s="194"/>
      <x:c r="H84" s="194"/>
      <x:c r="I84" s="194"/>
      <x:c r="J84" s="194"/>
      <x:c r="K84" s="194"/>
      <x:c r="L84" s="194"/>
      <x:c r="M84" s="194"/>
      <x:c r="N84" s="194"/>
      <x:c r="O84" s="194"/>
      <x:c r="P84" s="194"/>
      <x:c r="Q84" s="194"/>
      <x:c r="R84" s="194"/>
      <x:c r="S84" s="194"/>
      <x:c r="T84" s="194"/>
      <x:c r="U84" s="204"/>
    </x:row>
    <x:row r="85">
      <x:c r="A85" s="204"/>
      <x:c r="B85" s="194"/>
      <x:c r="C85" s="194"/>
      <x:c r="D85" s="194"/>
      <x:c r="E85" s="194"/>
      <x:c r="F85" s="194"/>
      <x:c r="G85" s="194"/>
      <x:c r="H85" s="194"/>
      <x:c r="I85" s="194"/>
      <x:c r="J85" s="194"/>
      <x:c r="K85" s="194"/>
      <x:c r="L85" s="194"/>
      <x:c r="M85" s="194"/>
      <x:c r="N85" s="194"/>
      <x:c r="O85" s="194"/>
      <x:c r="P85" s="194"/>
      <x:c r="Q85" s="194"/>
      <x:c r="R85" s="194"/>
      <x:c r="S85" s="194"/>
      <x:c r="T85" s="194"/>
      <x:c r="U85" s="204"/>
    </x:row>
    <x:row r="86">
      <x:c r="A86" s="204"/>
      <x:c r="B86" s="194"/>
      <x:c r="C86" s="194"/>
      <x:c r="D86" s="194"/>
      <x:c r="E86" s="194"/>
      <x:c r="F86" s="194"/>
      <x:c r="G86" s="194"/>
      <x:c r="H86" s="194"/>
      <x:c r="I86" s="194"/>
      <x:c r="J86" s="194"/>
      <x:c r="K86" s="194"/>
      <x:c r="L86" s="194"/>
      <x:c r="M86" s="194"/>
      <x:c r="N86" s="194"/>
      <x:c r="O86" s="194"/>
      <x:c r="P86" s="194"/>
      <x:c r="Q86" s="194"/>
      <x:c r="R86" s="194"/>
      <x:c r="S86" s="194"/>
      <x:c r="T86" s="194"/>
      <x:c r="U86" s="204"/>
    </x:row>
    <x:row r="87">
      <x:c r="A87" s="204"/>
      <x:c r="B87" s="194"/>
      <x:c r="C87" s="194"/>
      <x:c r="D87" s="194"/>
      <x:c r="E87" s="194"/>
      <x:c r="F87" s="194"/>
      <x:c r="G87" s="194"/>
      <x:c r="H87" s="194"/>
      <x:c r="I87" s="194"/>
      <x:c r="J87" s="194"/>
      <x:c r="K87" s="194"/>
      <x:c r="L87" s="194"/>
      <x:c r="M87" s="194"/>
      <x:c r="N87" s="194"/>
      <x:c r="O87" s="194"/>
      <x:c r="P87" s="194"/>
      <x:c r="Q87" s="194"/>
      <x:c r="R87" s="194"/>
      <x:c r="S87" s="194"/>
      <x:c r="T87" s="194"/>
      <x:c r="U87" s="204"/>
    </x:row>
    <x:row r="88">
      <x:c r="A88" s="204"/>
      <x:c r="B88" s="194"/>
      <x:c r="C88" s="194"/>
      <x:c r="D88" s="194"/>
      <x:c r="E88" s="194"/>
      <x:c r="F88" s="194"/>
      <x:c r="G88" s="194"/>
      <x:c r="H88" s="194"/>
      <x:c r="I88" s="194"/>
      <x:c r="J88" s="194"/>
      <x:c r="K88" s="194"/>
      <x:c r="L88" s="194"/>
      <x:c r="M88" s="194"/>
      <x:c r="N88" s="194"/>
      <x:c r="O88" s="194"/>
      <x:c r="P88" s="194"/>
      <x:c r="Q88" s="194"/>
      <x:c r="R88" s="194"/>
      <x:c r="S88" s="194"/>
      <x:c r="T88" s="194"/>
      <x:c r="U88" s="204"/>
    </x:row>
    <x:row r="89">
      <x:c r="A89" s="204"/>
      <x:c r="B89" s="194"/>
      <x:c r="C89" s="194"/>
      <x:c r="D89" s="194"/>
      <x:c r="E89" s="194"/>
      <x:c r="F89" s="194"/>
      <x:c r="G89" s="194"/>
      <x:c r="H89" s="194"/>
      <x:c r="I89" s="194"/>
      <x:c r="J89" s="194"/>
      <x:c r="K89" s="194"/>
      <x:c r="L89" s="194"/>
      <x:c r="M89" s="194"/>
      <x:c r="N89" s="194"/>
      <x:c r="O89" s="194"/>
      <x:c r="P89" s="194"/>
      <x:c r="Q89" s="194"/>
      <x:c r="R89" s="194"/>
      <x:c r="S89" s="194"/>
      <x:c r="T89" s="194"/>
      <x:c r="U89" s="204"/>
    </x:row>
    <x:row r="90">
      <x:c r="A90" s="204"/>
      <x:c r="B90" s="194"/>
      <x:c r="C90" s="194"/>
      <x:c r="D90" s="194"/>
      <x:c r="E90" s="196"/>
      <x:c r="F90" s="194"/>
      <x:c r="G90" s="194"/>
      <x:c r="H90" s="194"/>
      <x:c r="I90" s="194"/>
      <x:c r="J90" s="194"/>
      <x:c r="K90" s="194"/>
      <x:c r="L90" s="194"/>
      <x:c r="M90" s="194"/>
      <x:c r="N90" s="194"/>
      <x:c r="O90" s="194"/>
      <x:c r="P90" s="194"/>
      <x:c r="Q90" s="194"/>
      <x:c r="R90" s="194"/>
      <x:c r="S90" s="194"/>
      <x:c r="T90" s="194"/>
      <x:c r="U90" s="204"/>
    </x:row>
    <x:row r="91">
      <x:c r="A91" s="204"/>
      <x:c r="B91" s="205"/>
      <x:c r="C91" s="205"/>
      <x:c r="D91" s="205"/>
      <x:c r="E91" s="205"/>
      <x:c r="F91" s="205"/>
      <x:c r="G91" s="205"/>
      <x:c r="H91" s="205"/>
      <x:c r="I91" s="205"/>
      <x:c r="J91" s="205"/>
      <x:c r="K91" s="205"/>
      <x:c r="L91" s="205"/>
      <x:c r="M91" s="205"/>
      <x:c r="N91" s="205"/>
      <x:c r="O91" s="205"/>
      <x:c r="P91" s="205"/>
      <x:c r="Q91" s="205"/>
      <x:c r="R91" s="205"/>
      <x:c r="S91" s="205"/>
      <x:c r="T91" s="205"/>
      <x:c r="U91" s="204"/>
    </x:row>
    <x:row r="92">
      <x:c r="A92" s="204"/>
      <x:c r="B92" s="204"/>
      <x:c r="C92" s="204"/>
      <x:c r="D92" s="205"/>
      <x:c r="E92" s="205"/>
      <x:c r="F92" s="205"/>
      <x:c r="G92" s="205"/>
      <x:c r="H92" s="205"/>
      <x:c r="I92" s="205"/>
      <x:c r="J92" s="205"/>
      <x:c r="K92" s="205"/>
      <x:c r="L92" s="205"/>
      <x:c r="M92" s="205"/>
      <x:c r="N92" s="205"/>
      <x:c r="O92" s="205"/>
      <x:c r="P92" s="205"/>
      <x:c r="Q92" s="205"/>
      <x:c r="R92" s="205"/>
      <x:c r="S92" s="204"/>
      <x:c r="T92" s="204"/>
      <x:c r="U92" s="204"/>
    </x:row>
    <x:row r="93">
      <x:c r="A93" s="204"/>
      <x:c r="B93" s="204"/>
      <x:c r="C93" s="204"/>
      <x:c r="D93" s="204"/>
      <x:c r="E93" s="204"/>
      <x:c r="F93" s="204"/>
      <x:c r="G93" s="204"/>
      <x:c r="H93" s="204"/>
      <x:c r="I93" s="204"/>
      <x:c r="J93" s="204"/>
      <x:c r="K93" s="204"/>
      <x:c r="L93" s="204"/>
      <x:c r="M93" s="204"/>
      <x:c r="N93" s="204"/>
      <x:c r="O93" s="204"/>
      <x:c r="P93" s="204"/>
      <x:c r="Q93" s="204"/>
      <x:c r="R93" s="204"/>
      <x:c r="S93" s="204"/>
      <x:c r="T93" s="204"/>
      <x:c r="U93" s="204"/>
    </x:row>
    <x:row r="94">
      <x:c r="A94" s="204"/>
      <x:c r="B94" s="204"/>
      <x:c r="C94" s="204"/>
      <x:c r="D94" s="204"/>
      <x:c r="E94" s="204"/>
      <x:c r="F94" s="204"/>
      <x:c r="G94" s="204"/>
      <x:c r="H94" s="204"/>
      <x:c r="I94" s="204"/>
      <x:c r="J94" s="204"/>
      <x:c r="K94" s="204"/>
      <x:c r="L94" s="204"/>
      <x:c r="M94" s="204"/>
      <x:c r="N94" s="204"/>
      <x:c r="O94" s="204"/>
      <x:c r="P94" s="204"/>
      <x:c r="Q94" s="204"/>
      <x:c r="R94" s="204"/>
      <x:c r="S94" s="204"/>
      <x:c r="T94" s="204"/>
      <x:c r="U94" s="204"/>
    </x:row>
  </x:sheetData>
  <x:mergeCells>
    <x:mergeCell ref="F19:H19"/>
    <x:mergeCell ref="F1:F4"/>
    <x:mergeCell ref="T2:T3"/>
    <x:mergeCell ref="O10:Q10"/>
    <x:mergeCell ref="O11:Q11"/>
    <x:mergeCell ref="J9:L9"/>
    <x:mergeCell ref="O7:Q7"/>
    <x:mergeCell ref="O8:Q8"/>
    <x:mergeCell ref="O9:Q9"/>
    <x:mergeCell ref="F53:H53"/>
    <x:mergeCell ref="F54:H54"/>
    <x:mergeCell ref="J2:N3"/>
    <x:mergeCell ref="F49:H49"/>
    <x:mergeCell ref="F50:H50"/>
    <x:mergeCell ref="F51:H51"/>
    <x:mergeCell ref="F52:H52"/>
    <x:mergeCell ref="F44:H44"/>
    <x:mergeCell ref="J10:L10"/>
    <x:mergeCell ref="J11:L11"/>
    <x:mergeCell ref="F32:H32"/>
    <x:mergeCell ref="F34:H34"/>
    <x:mergeCell ref="F37:H37"/>
    <x:mergeCell ref="J7:L7"/>
    <x:mergeCell ref="J8:L8"/>
    <x:mergeCell ref="F22:H22"/>
  </x:mergeCells>
  <x:conditionalFormatting sqref="I51:I54 S39:S39 S41:S41 S24:S24">
    <x:cfRule type="cellIs" dxfId="29" priority="5" operator="lessThan">
      <x:formula>0</x:formula>
    </x:cfRule>
  </x:conditionalFormatting>
  <x:conditionalFormatting sqref="I52:I54">
    <x:cfRule type="cellIs" dxfId="28" priority="4" operator="lessThan">
      <x:formula>0</x:formula>
    </x:cfRule>
  </x:conditionalFormatting>
  <x:conditionalFormatting sqref="I54:I54">
    <x:cfRule type="cellIs" dxfId="27" priority="1" operator="greaterThan">
      <x:formula>"5Y 0M"</x:formula>
    </x:cfRule>
  </x:conditionalFormatting>
  <x:dataValidations count="1">
    <x:dataValidation type="list" allowBlank="1" showInputMessage="1" showErrorMessage="1" sqref="O11">
      <x:formula1>"2017,2018,2019,2020,2021,2022,2023,2024,2025"</x:formula1>
    </x:dataValidation>
  </x:dataValidations>
  <x:pageMargins left="0.7" right="0.7" top="0.75" bottom="0.75" header="0.3" footer="0.3"/>
  <x:drawing xmlns:r="http://schemas.openxmlformats.org/officeDocument/2006/relationships" r:id="R70eb4e57ca5f4d57"/>
</x:worksheet>
</file>

<file path=xl/worksheets/sheet4.xml><?xml version="1.0" encoding="utf-8"?>
<x:worksheet xmlns:x="http://schemas.openxmlformats.org/spreadsheetml/2006/main">
  <x:sheetPr>
    <x:tabColor theme="9" tint="-0.24998"/>
  </x:sheetPr>
  <x:sheetFormatPr baseColWidth="10" defaultColWidth="11.42578125" defaultRowHeight="12.75"/>
  <x:cols>
    <x:col min="1" max="1" width="5.42578125" style="33" customWidth="1"/>
    <x:col min="2" max="3" width="2.7109375" style="33" customWidth="1"/>
    <x:col min="4" max="4" width="3" style="33" customWidth="1"/>
    <x:col min="5" max="5" width="7.28515625" style="33" customWidth="1"/>
    <x:col min="6" max="6" width="1.85546875" style="33" customWidth="1"/>
    <x:col min="7" max="7" width="20.5703125" style="33" customWidth="1"/>
    <x:col min="8" max="8" width="10.5703125" style="33" customWidth="1"/>
    <x:col min="9" max="9" width="57.140625" style="33" customWidth="1"/>
    <x:col min="10" max="19" width="13.7109375" style="33" customWidth="1"/>
    <x:col min="20" max="20" width="7.28515625" style="54" customWidth="1"/>
    <x:col min="21" max="21" width="6.28515625" style="33" customWidth="1"/>
    <x:col min="22" max="22" width="11.42578125" style="33" customWidth="0"/>
    <x:col min="23" max="23" width="11.42578125" style="34" customWidth="0"/>
    <x:col min="24" max="16384" width="11.42578125" style="33" customWidth="0"/>
  </x:cols>
  <x:sheetData>
    <x:row r="1" ht="18" customHeight="1">
      <x:c r="A1" s="57"/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34"/>
      <x:c r="W1" s="33"/>
    </x:row>
    <x:row r="2" ht="16.5" customHeight="1">
      <x:c r="A2" s="57"/>
      <x:c r="B2" s="57"/>
      <x:c r="C2" s="57"/>
      <x:c r="D2" s="57"/>
      <x:c r="E2" s="376"/>
      <x:c r="F2" s="376"/>
      <x:c r="G2" s="376"/>
      <x:c r="H2" s="58" t="str">
        <x:v>IT Business Case 2026 (fictional example)</x:v>
      </x:c>
      <x:c r="I2" s="57"/>
      <x:c r="J2" s="338" t="str">
        <x:f>L10</x:f>
        <x:v>M:COMPANION | Becoming a Daily Shopping Companion</x:v>
      </x:c>
      <x:c r="K2" s="338"/>
      <x:c r="L2" s="338"/>
      <x:c r="M2" s="338"/>
      <x:c r="N2" s="338"/>
      <x:c r="O2" s="57"/>
      <x:c r="P2" s="57"/>
      <x:c r="Q2" s="57"/>
      <x:c r="R2" s="57"/>
      <x:c r="S2" s="57"/>
      <x:c r="T2" s="349" t="s">
        <x:v>67</x:v>
      </x:c>
      <x:c r="U2" s="57"/>
      <x:c r="V2" s="34"/>
      <x:c r="W2" s="33"/>
    </x:row>
    <x:row r="3" ht="17.25" customHeight="1">
      <x:c r="A3" s="57"/>
      <x:c r="B3" s="57"/>
      <x:c r="C3" s="57"/>
      <x:c r="D3" s="57"/>
      <x:c r="E3" s="376"/>
      <x:c r="F3" s="376"/>
      <x:c r="G3" s="376"/>
      <x:c r="H3" s="270" t="s">
        <x:v>109</x:v>
      </x:c>
      <x:c r="I3" s="57"/>
      <x:c r="J3" s="338"/>
      <x:c r="K3" s="338"/>
      <x:c r="L3" s="338"/>
      <x:c r="M3" s="338"/>
      <x:c r="N3" s="338"/>
      <x:c r="O3" s="57"/>
      <x:c r="P3" s="57"/>
      <x:c r="Q3" s="57"/>
      <x:c r="R3" s="57"/>
      <x:c r="S3" s="57"/>
      <x:c r="T3" s="350"/>
      <x:c r="U3" s="57"/>
      <x:c r="V3" s="34"/>
      <x:c r="W3" s="33"/>
    </x:row>
    <x:row r="4" ht="15.75" customHeight="1">
      <x:c r="A4" s="57"/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34"/>
      <x:c r="W4" s="33"/>
    </x:row>
    <x:row r="5" ht="17.25" customHeight="1">
      <x:c r="A5" s="59"/>
      <x:c r="B5" s="59"/>
      <x:c r="C5" s="59"/>
      <x:c r="D5" s="59"/>
      <x:c r="E5" s="59"/>
      <x:c r="F5" s="59"/>
      <x:c r="G5" s="59"/>
      <x:c r="H5" s="59"/>
      <x:c r="I5" s="59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59"/>
      <x:c r="U5" s="59"/>
      <x:c r="V5" s="34"/>
      <x:c r="W5" s="33"/>
    </x:row>
    <x:row r="6" ht="12.75" customHeight="1">
      <x:c r="A6" s="59"/>
      <x:c r="B6" s="59"/>
      <x:c r="C6" s="59"/>
      <x:c r="D6" s="59"/>
      <x:c r="E6" s="59"/>
      <x:c r="F6" s="59"/>
      <x:c r="G6" s="59"/>
      <x:c r="H6" s="59"/>
      <x:c r="I6" s="136"/>
      <x:c r="J6" s="115"/>
      <x:c r="K6" s="106"/>
      <x:c r="L6" s="106"/>
      <x:c r="M6" s="106"/>
      <x:c r="N6" s="106"/>
      <x:c r="O6" s="106"/>
      <x:c r="P6" s="106"/>
      <x:c r="Q6" s="106"/>
      <x:c r="R6" s="106"/>
      <x:c r="S6" s="106"/>
      <x:c r="T6" s="108"/>
      <x:c r="U6" s="59"/>
      <x:c r="V6" s="34"/>
      <x:c r="W6" s="33"/>
    </x:row>
    <x:row r="7" ht="15" customHeight="1">
      <x:c r="A7" s="59"/>
      <x:c r="B7" s="59"/>
      <x:c r="C7" s="59"/>
      <x:c r="D7" s="59"/>
      <x:c r="E7" s="59"/>
      <x:c r="F7" s="59"/>
      <x:c r="G7" s="59"/>
      <x:c r="H7" s="59"/>
      <x:c r="I7" s="136"/>
      <x:c r="J7" s="110"/>
      <x:c r="K7" s="62" t="s">
        <x:v>110</x:v>
      </x:c>
      <x:c r="L7" s="378" t="str">
        <x:f>  +Summary!J7</x:f>
        <x:v>Corporate</x:v>
      </x:c>
      <x:c r="M7" s="378"/>
      <x:c r="N7" s="378"/>
      <x:c r="O7" s="35"/>
      <x:c r="P7" s="63" t="s">
        <x:v>69</x:v>
      </x:c>
      <x:c r="Q7" s="373" t="str">
        <x:f>Summary!O7</x:f>
        <x:v>Digital Product Lead</x:v>
      </x:c>
      <x:c r="R7" s="373"/>
      <x:c r="S7" s="373"/>
      <x:c r="T7" s="144"/>
      <x:c r="U7" s="59"/>
      <x:c r="V7" s="34"/>
      <x:c r="W7" s="33"/>
    </x:row>
    <x:row r="8" ht="15" customHeight="1">
      <x:c r="A8" s="59"/>
      <x:c r="B8" s="59"/>
      <x:c r="C8" s="59"/>
      <x:c r="D8" s="59"/>
      <x:c r="E8" s="59"/>
      <x:c r="F8" s="59"/>
      <x:c r="G8" s="59"/>
      <x:c r="H8" s="59"/>
      <x:c r="I8" s="136"/>
      <x:c r="J8" s="110"/>
      <x:c r="K8" s="62" t="s">
        <x:v>111</x:v>
      </x:c>
      <x:c r="L8" s="373" t="n">
        <x:f>+Summary!J8</x:f>
        <x:v>3873</x:v>
      </x:c>
      <x:c r="M8" s="373"/>
      <x:c r="N8" s="373"/>
      <x:c r="O8" s="35"/>
      <x:c r="P8" s="64" t="s">
        <x:v>71</x:v>
      </x:c>
      <x:c r="Q8" s="373" t="str">
        <x:f>Summary!O8</x:f>
        <x:v>VP Customer Experience</x:v>
      </x:c>
      <x:c r="R8" s="373"/>
      <x:c r="S8" s="373"/>
      <x:c r="T8" s="144"/>
      <x:c r="U8" s="59"/>
      <x:c r="V8" s="34"/>
      <x:c r="W8" s="33"/>
    </x:row>
    <x:row r="9" ht="15" customHeight="1">
      <x:c r="A9" s="59"/>
      <x:c r="B9" s="59"/>
      <x:c r="C9" s="59"/>
      <x:c r="D9" s="59"/>
      <x:c r="E9" s="59"/>
      <x:c r="F9" s="59"/>
      <x:c r="G9" s="59"/>
      <x:c r="H9" s="59"/>
      <x:c r="I9" s="136"/>
      <x:c r="J9" s="110"/>
      <x:c r="K9" s="62" t="s">
        <x:v>112</x:v>
      </x:c>
      <x:c r="L9" s="373" t="str">
        <x:f>+Summary!J9</x:f>
        <x:v>BC-2026-0387.3</x:v>
      </x:c>
      <x:c r="M9" s="373"/>
      <x:c r="N9" s="373"/>
      <x:c r="O9" s="35"/>
      <x:c r="P9" s="62" t="s">
        <x:v>73</x:v>
      </x:c>
      <x:c r="Q9" s="374" t="n">
        <x:f>IF(Summary!O9,Summary!O9,"")</x:f>
        <x:v>46270</x:v>
      </x:c>
      <x:c r="R9" s="374"/>
      <x:c r="S9" s="374"/>
      <x:c r="T9" s="144"/>
      <x:c r="U9" s="59"/>
      <x:c r="W9" s="33"/>
    </x:row>
    <x:row r="10" ht="15" customHeight="1">
      <x:c r="A10" s="59"/>
      <x:c r="B10" s="59"/>
      <x:c r="C10" s="59"/>
      <x:c r="D10" s="59"/>
      <x:c r="E10" s="59"/>
      <x:c r="F10" s="59"/>
      <x:c r="G10" s="59"/>
      <x:c r="H10" s="59"/>
      <x:c r="I10" s="136"/>
      <x:c r="J10" s="110"/>
      <x:c r="K10" s="191" t="s">
        <x:v>113</x:v>
      </x:c>
      <x:c r="L10" s="375" t="str">
        <x:f>+Summary!J10</x:f>
        <x:v>M:COMPANION | Becoming a Daily Shopping Companion</x:v>
      </x:c>
      <x:c r="M10" s="375"/>
      <x:c r="N10" s="375"/>
      <x:c r="O10" s="35"/>
      <x:c r="P10" s="62" t="s">
        <x:v>75</x:v>
      </x:c>
      <x:c r="Q10" s="375" t="n">
        <x:f>Summary!O10</x:f>
        <x:v>2026</x:v>
      </x:c>
      <x:c r="R10" s="375"/>
      <x:c r="S10" s="375"/>
      <x:c r="T10" s="144"/>
      <x:c r="U10" s="59"/>
      <x:c r="W10" s="33"/>
    </x:row>
    <x:row r="11" ht="15" customHeight="1">
      <x:c r="A11" s="59"/>
      <x:c r="B11" s="59"/>
      <x:c r="C11" s="59"/>
      <x:c r="D11" s="59"/>
      <x:c r="E11" s="59"/>
      <x:c r="F11" s="59"/>
      <x:c r="G11" s="59"/>
      <x:c r="H11" s="59"/>
      <x:c r="I11" s="136"/>
      <x:c r="J11" s="110"/>
      <x:c r="K11" s="191" t="s">
        <x:v>114</x:v>
      </x:c>
      <x:c r="L11" s="373" t="str">
        <x:f>+Summary!J11</x:f>
        <x:v>Company 1 – Digital Customer Experience</x:v>
      </x:c>
      <x:c r="M11" s="373"/>
      <x:c r="N11" s="373"/>
      <x:c r="O11" s="35"/>
      <x:c r="P11" s="62" t="s">
        <x:v>77</x:v>
      </x:c>
      <x:c r="Q11" s="375" t="n">
        <x:f>IF(Summary!O11,Summary!O11,"")</x:f>
        <x:v>2027</x:v>
      </x:c>
      <x:c r="R11" s="375"/>
      <x:c r="S11" s="375"/>
      <x:c r="T11" s="144"/>
      <x:c r="U11" s="59"/>
      <x:c r="W11" s="33"/>
    </x:row>
    <x:row r="12" ht="9.75" customHeight="1">
      <x:c r="A12" s="59"/>
      <x:c r="B12" s="59"/>
      <x:c r="C12" s="59"/>
      <x:c r="D12" s="59"/>
      <x:c r="E12" s="59"/>
      <x:c r="F12" s="59"/>
      <x:c r="G12" s="59"/>
      <x:c r="H12" s="59"/>
      <x:c r="I12" s="136"/>
      <x:c r="J12" s="123"/>
      <x:c r="K12" s="138"/>
      <x:c r="L12" s="139"/>
      <x:c r="M12" s="138"/>
      <x:c r="N12" s="140"/>
      <x:c r="O12" s="141"/>
      <x:c r="P12" s="142"/>
      <x:c r="Q12" s="143"/>
      <x:c r="R12" s="140"/>
      <x:c r="S12" s="140"/>
      <x:c r="T12" s="189"/>
      <x:c r="U12" s="59"/>
      <x:c r="W12" s="33"/>
    </x:row>
    <x:row r="13" ht="15" customHeight="1">
      <x:c r="A13" s="59"/>
      <x:c r="B13" s="137"/>
      <x:c r="C13" s="59"/>
      <x:c r="D13" s="59"/>
      <x:c r="E13" s="59"/>
      <x:c r="F13" s="59"/>
      <x:c r="G13" s="59"/>
      <x:c r="H13" s="59"/>
      <x:c r="I13" s="59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59"/>
      <x:c r="U13" s="59"/>
      <x:c r="W13" s="33"/>
    </x:row>
    <x:row r="14" ht="21.75" customHeight="1">
      <x:c r="A14" s="136"/>
      <x:c r="B14" s="54"/>
      <x:c r="C14" s="134" t="s">
        <x:v>115</x:v>
      </x:c>
      <x:c r="D14" s="129"/>
      <x:c r="E14" s="130"/>
      <x:c r="F14" s="130"/>
      <x:c r="G14" s="131"/>
      <x:c r="H14" s="132"/>
      <x:c r="I14" s="107"/>
      <x:c r="J14" s="106"/>
      <x:c r="K14" s="106"/>
      <x:c r="L14" s="106"/>
      <x:c r="M14" s="106"/>
      <x:c r="N14" s="106"/>
      <x:c r="O14" s="106"/>
      <x:c r="P14" s="106"/>
      <x:c r="Q14" s="106"/>
      <x:c r="R14" s="106"/>
      <x:c r="S14" s="106"/>
      <x:c r="T14" s="108"/>
      <x:c r="U14" s="59"/>
      <x:c r="W14" s="33"/>
    </x:row>
    <x:row r="15" ht="15" customHeight="1">
      <x:c r="A15" s="136"/>
      <x:c r="B15" s="133"/>
      <x:c r="C15" s="54"/>
      <x:c r="D15" s="38"/>
      <x:c r="E15" s="38"/>
      <x:c r="F15" s="38"/>
      <x:c r="G15" s="35"/>
      <x:c r="H15" s="35"/>
      <x:c r="I15" s="37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117"/>
      <x:c r="U15" s="59"/>
      <x:c r="W15" s="33"/>
    </x:row>
    <x:row r="16" ht="15" customHeight="1">
      <x:c r="A16" s="136"/>
      <x:c r="B16" s="133"/>
      <x:c r="C16" s="54"/>
      <x:c r="D16" s="35"/>
      <x:c r="E16" s="35"/>
      <x:c r="F16" s="35"/>
      <x:c r="G16" s="94" t="s">
        <x:v>3</x:v>
      </x:c>
      <x:c r="H16" s="95" t="s">
        <x:v>116</x:v>
      </x:c>
      <x:c r="I16" s="96" t="s">
        <x:v>44</x:v>
      </x:c>
      <x:c r="J16" s="96" t="n">
        <x:f t="shared" ref="J16:S16" si="0">+J31</x:f>
        <x:v>2026</x:v>
      </x:c>
      <x:c r="K16" s="96" t="n">
        <x:f t="shared" si="0"/>
        <x:v>2027</x:v>
      </x:c>
      <x:c r="L16" s="96" t="n">
        <x:f t="shared" si="0"/>
        <x:v>2028</x:v>
      </x:c>
      <x:c r="M16" s="96" t="n">
        <x:f t="shared" si="0"/>
        <x:v>2029</x:v>
      </x:c>
      <x:c r="N16" s="96" t="n">
        <x:f t="shared" si="0"/>
        <x:v>2030</x:v>
      </x:c>
      <x:c r="O16" s="96" t="n">
        <x:f t="shared" si="0"/>
        <x:v>2031</x:v>
      </x:c>
      <x:c r="P16" s="96" t="n">
        <x:f t="shared" si="0"/>
        <x:v>2032</x:v>
      </x:c>
      <x:c r="Q16" s="96" t="n">
        <x:f t="shared" si="0"/>
        <x:v>2033</x:v>
      </x:c>
      <x:c r="R16" s="96" t="n">
        <x:f t="shared" si="0"/>
        <x:v>2034</x:v>
      </x:c>
      <x:c r="S16" s="96" t="n">
        <x:f t="shared" si="0"/>
        <x:v>2035</x:v>
      </x:c>
      <x:c r="T16" s="117"/>
      <x:c r="U16" s="59"/>
      <x:c r="W16" s="33"/>
    </x:row>
    <x:row r="17" s="74" customFormat="1" ht="23.25" customHeight="1">
      <x:c r="A17" s="136"/>
      <x:c r="B17" s="133"/>
      <x:c r="C17" s="54"/>
      <x:c r="D17" s="72" t="s">
        <x:v>117</x:v>
      </x:c>
      <x:c r="E17" s="72" t="s">
        <x:v>118</x:v>
      </x:c>
      <x:c r="F17" s="71"/>
      <x:c r="G17" s="72"/>
      <x:c r="H17" s="72"/>
      <x:c r="I17" s="71"/>
      <x:c r="J17" s="73"/>
      <x:c r="K17" s="73"/>
      <x:c r="L17" s="73"/>
      <x:c r="M17" s="73"/>
      <x:c r="N17" s="73"/>
      <x:c r="O17" s="73"/>
      <x:c r="P17" s="73"/>
      <x:c r="Q17" s="73"/>
      <x:c r="R17" s="73"/>
      <x:c r="S17" s="101"/>
      <x:c r="T17" s="118"/>
      <x:c r="U17" s="59"/>
    </x:row>
    <x:row r="18" s="79" customFormat="1" ht="18" customHeight="1">
      <x:c r="A18" s="136"/>
      <x:c r="B18" s="133"/>
      <x:c r="C18" s="54"/>
      <x:c r="D18" s="41"/>
      <x:c r="E18" s="76"/>
      <x:c r="F18" s="77"/>
      <x:c r="G18" s="372" t="s">
        <x:v>119</x:v>
      </x:c>
      <x:c r="H18" s="372"/>
      <x:c r="I18" s="372"/>
      <x:c r="J18" s="78"/>
      <x:c r="K18" s="78"/>
      <x:c r="L18" s="78"/>
      <x:c r="M18" s="78"/>
      <x:c r="N18" s="75"/>
      <x:c r="O18" s="75"/>
      <x:c r="P18" s="75"/>
      <x:c r="Q18" s="75"/>
      <x:c r="R18" s="75"/>
      <x:c r="S18" s="102"/>
      <x:c r="T18" s="119"/>
      <x:c r="U18" s="59"/>
    </x:row>
    <x:row r="19" ht="15" customHeight="1">
      <x:c r="A19" s="136"/>
      <x:c r="B19" s="133"/>
      <x:c r="C19" s="54"/>
      <x:c r="D19" s="38"/>
      <x:c r="E19" s="42"/>
      <x:c r="F19" s="70"/>
      <x:c r="G19" s="92" t="s">
        <x:v>120</x:v>
      </x:c>
      <x:c r="H19" s="93" t="s">
        <x:v>121</x:v>
      </x:c>
      <x:c r="I19" s="91" t="str">
        <x:v>Internal product, UX and architecture effort</x:v>
      </x:c>
      <x:c r="J19" s="712" t="n">
        <x:v>250000</x:v>
      </x:c>
      <x:c r="K19" s="712"/>
      <x:c r="L19" s="712"/>
      <x:c r="M19" s="712"/>
      <x:c r="N19" s="712"/>
      <x:c r="O19" s="712"/>
      <x:c r="P19" s="712"/>
      <x:c r="Q19" s="712"/>
      <x:c r="R19" s="712"/>
      <x:c r="S19" s="712"/>
      <x:c r="T19" s="120"/>
      <x:c r="U19" s="59"/>
      <x:c r="W19" s="33"/>
    </x:row>
    <x:row r="20" ht="15" customHeight="1">
      <x:c r="A20" s="136"/>
      <x:c r="B20" s="133"/>
      <x:c r="C20" s="54"/>
      <x:c r="D20" s="35"/>
      <x:c r="E20" s="35"/>
      <x:c r="F20" s="70"/>
      <x:c r="G20" s="92" t="s">
        <x:v>122</x:v>
      </x:c>
      <x:c r="H20" s="93" t="s">
        <x:v>121</x:v>
      </x:c>
      <x:c r="I20" s="91" t="str">
        <x:v>External mobile app development and system integration</x:v>
      </x:c>
      <x:c r="J20" s="712" t="n">
        <x:v>400000</x:v>
      </x:c>
      <x:c r="K20" s="712"/>
      <x:c r="L20" s="712"/>
      <x:c r="M20" s="712"/>
      <x:c r="N20" s="712"/>
      <x:c r="O20" s="712"/>
      <x:c r="P20" s="712"/>
      <x:c r="Q20" s="712"/>
      <x:c r="R20" s="712"/>
      <x:c r="S20" s="712"/>
      <x:c r="T20" s="120"/>
      <x:c r="U20" s="59"/>
      <x:c r="W20" s="33"/>
    </x:row>
    <x:row r="21" s="79" customFormat="1" ht="18.75" customHeight="1">
      <x:c r="A21" s="136"/>
      <x:c r="B21" s="133"/>
      <x:c r="C21" s="54"/>
      <x:c r="D21" s="41"/>
      <x:c r="E21" s="76"/>
      <x:c r="F21" s="77"/>
      <x:c r="G21" s="372" t="s">
        <x:v>123</x:v>
      </x:c>
      <x:c r="H21" s="372"/>
      <x:c r="I21" s="372"/>
      <x:c r="J21" s="80"/>
      <x:c r="K21" s="80"/>
      <x:c r="L21" s="80"/>
      <x:c r="M21" s="80"/>
      <x:c r="N21" s="80"/>
      <x:c r="O21" s="80"/>
      <x:c r="P21" s="80"/>
      <x:c r="Q21" s="80"/>
      <x:c r="R21" s="80"/>
      <x:c r="S21" s="103"/>
      <x:c r="T21" s="119"/>
      <x:c r="U21" s="59"/>
    </x:row>
    <x:row r="22" ht="15" customHeight="1">
      <x:c r="A22" s="136"/>
      <x:c r="B22" s="133"/>
      <x:c r="C22" s="54"/>
      <x:c r="D22" s="38"/>
      <x:c r="E22" s="42"/>
      <x:c r="F22" s="70"/>
      <x:c r="G22" s="92" t="s">
        <x:v>120</x:v>
      </x:c>
      <x:c r="H22" s="93" t="s">
        <x:v>121</x:v>
      </x:c>
      <x:c r="I22" s="91" t="str">
        <x:v>Software licences / analytics tooling</x:v>
      </x:c>
      <x:c r="J22" s="712" t="n">
        <x:v>50000</x:v>
      </x:c>
      <x:c r="K22" s="712"/>
      <x:c r="L22" s="712"/>
      <x:c r="M22" s="712"/>
      <x:c r="N22" s="712"/>
      <x:c r="O22" s="712"/>
      <x:c r="P22" s="712"/>
      <x:c r="Q22" s="712"/>
      <x:c r="R22" s="712"/>
      <x:c r="S22" s="712"/>
      <x:c r="T22" s="120"/>
      <x:c r="U22" s="59"/>
      <x:c r="W22" s="33"/>
    </x:row>
    <x:row r="23" s="79" customFormat="1" ht="17.25" customHeight="1">
      <x:c r="A23" s="136"/>
      <x:c r="B23" s="133"/>
      <x:c r="C23" s="54"/>
      <x:c r="D23" s="41"/>
      <x:c r="E23" s="76"/>
      <x:c r="F23" s="77"/>
      <x:c r="G23" s="372" t="s">
        <x:v>124</x:v>
      </x:c>
      <x:c r="H23" s="372"/>
      <x:c r="I23" s="372"/>
      <x:c r="J23" s="80"/>
      <x:c r="K23" s="80"/>
      <x:c r="L23" s="80"/>
      <x:c r="M23" s="80"/>
      <x:c r="N23" s="80"/>
      <x:c r="O23" s="80"/>
      <x:c r="P23" s="80"/>
      <x:c r="Q23" s="80"/>
      <x:c r="R23" s="80"/>
      <x:c r="S23" s="103"/>
      <x:c r="T23" s="119"/>
      <x:c r="U23" s="59"/>
    </x:row>
    <x:row r="24" ht="15" customHeight="1">
      <x:c r="A24" s="136"/>
      <x:c r="B24" s="133"/>
      <x:c r="C24" s="54"/>
      <x:c r="D24" s="35"/>
      <x:c r="E24" s="35"/>
      <x:c r="F24" s="70"/>
      <x:c r="G24" s="92" t="s">
        <x:v>122</x:v>
      </x:c>
      <x:c r="H24" s="93" t="s">
        <x:v>121</x:v>
      </x:c>
      <x:c r="I24" s="91" t="str">
        <x:v>Local rollout infrastructure and devices</x:v>
      </x:c>
      <x:c r="J24" s="712" t="n">
        <x:v>100000</x:v>
      </x:c>
      <x:c r="K24" s="712"/>
      <x:c r="L24" s="712"/>
      <x:c r="M24" s="712"/>
      <x:c r="N24" s="712"/>
      <x:c r="O24" s="712"/>
      <x:c r="P24" s="712"/>
      <x:c r="Q24" s="712"/>
      <x:c r="R24" s="712"/>
      <x:c r="S24" s="712"/>
      <x:c r="T24" s="120"/>
      <x:c r="U24" s="59"/>
      <x:c r="W24" s="33"/>
    </x:row>
    <x:row r="25" ht="15" customHeight="1">
      <x:c r="A25" s="136"/>
      <x:c r="B25" s="133"/>
      <x:c r="C25" s="54"/>
      <x:c r="D25" s="38"/>
      <x:c r="E25" s="42"/>
      <x:c r="F25" s="85"/>
      <x:c r="G25" s="81"/>
      <x:c r="H25" s="81"/>
      <x:c r="I25" s="81"/>
      <x:c r="J25" s="82"/>
      <x:c r="K25" s="82"/>
      <x:c r="L25" s="82"/>
      <x:c r="M25" s="82"/>
      <x:c r="N25" s="82"/>
      <x:c r="O25" s="82"/>
      <x:c r="P25" s="83"/>
      <x:c r="Q25" s="83"/>
      <x:c r="R25" s="83"/>
      <x:c r="S25" s="84"/>
      <x:c r="T25" s="120"/>
      <x:c r="U25" s="59"/>
      <x:c r="W25" s="33"/>
    </x:row>
    <x:row r="26" ht="15" customHeight="1">
      <x:c r="A26" s="136"/>
      <x:c r="B26" s="133"/>
      <x:c r="C26" s="54"/>
      <x:c r="D26" s="38"/>
      <x:c r="E26" s="38"/>
      <x:c r="F26" s="86"/>
      <x:c r="G26" s="89" t="s">
        <x:v>125</x:v>
      </x:c>
      <x:c r="H26" s="87"/>
      <x:c r="I26" s="88"/>
      <x:c r="J26" s="714" t="n">
        <x:f t="shared" ref="J26:S26" si="1">J19+J20+J22+J24</x:f>
        <x:v>800000</x:v>
      </x:c>
      <x:c r="K26" s="714" t="n">
        <x:f t="shared" si="1">K19+K20+K22+K24</x:f>
        <x:v>0</x:v>
      </x:c>
      <x:c r="L26" s="714" t="n">
        <x:f t="shared" si="1">L19+L20+L22+L24</x:f>
        <x:v>0</x:v>
      </x:c>
      <x:c r="M26" s="714" t="n">
        <x:f t="shared" si="1">M19+M20+M22+M24</x:f>
        <x:v>0</x:v>
      </x:c>
      <x:c r="N26" s="714" t="n">
        <x:f t="shared" si="1">N19+N20+N22+N24</x:f>
        <x:v>0</x:v>
      </x:c>
      <x:c r="O26" s="714" t="n">
        <x:f t="shared" si="1">O19+O20+O22+O24</x:f>
        <x:v>0</x:v>
      </x:c>
      <x:c r="P26" s="714" t="n">
        <x:f t="shared" si="1">P19+P20+P22+P24</x:f>
        <x:v>0</x:v>
      </x:c>
      <x:c r="Q26" s="714" t="n">
        <x:f t="shared" si="1">Q19+Q20+Q22+Q24</x:f>
        <x:v>0</x:v>
      </x:c>
      <x:c r="R26" s="714" t="n">
        <x:f>R19+R20+R22+R24</x:f>
        <x:v>0</x:v>
      </x:c>
      <x:c r="S26" s="714" t="n">
        <x:f t="shared" si="1">S19+S20+S22+S24</x:f>
        <x:v>0</x:v>
      </x:c>
      <x:c r="T26" s="117"/>
      <x:c r="U26" s="59"/>
      <x:c r="W26" s="33"/>
    </x:row>
    <x:row r="27" ht="15" customHeight="1">
      <x:c r="A27" s="136"/>
      <x:c r="B27" s="133"/>
      <x:c r="C27" s="54"/>
      <x:c r="D27" s="38"/>
      <x:c r="E27" s="38"/>
      <x:c r="F27" s="38"/>
      <x:c r="G27" s="35"/>
      <x:c r="H27" s="35"/>
      <x:c r="I27" s="37"/>
      <x:c r="J27" s="43"/>
      <x:c r="K27" s="43"/>
      <x:c r="L27" s="43"/>
      <x:c r="M27" s="43"/>
      <x:c r="N27" s="35"/>
      <x:c r="O27" s="35"/>
      <x:c r="P27" s="35"/>
      <x:c r="Q27" s="35"/>
      <x:c r="R27" s="35"/>
      <x:c r="S27" s="35"/>
      <x:c r="T27" s="117"/>
      <x:c r="U27" s="59"/>
      <x:c r="W27" s="33"/>
    </x:row>
    <x:row r="28" ht="15" customHeight="1">
      <x:c r="A28" s="136"/>
      <x:c r="B28" s="133"/>
      <x:c r="C28" s="54"/>
      <x:c r="D28" s="38"/>
      <x:c r="E28" s="38"/>
      <x:c r="F28" s="38"/>
      <x:c r="G28" s="372" t="s">
        <x:v>126</x:v>
      </x:c>
      <x:c r="H28" s="372"/>
      <x:c r="I28" s="372"/>
      <x:c r="J28" s="90" t="n">
        <x:v>5</x:v>
      </x:c>
      <x:c r="K28" s="377" t="s">
        <x:v>127</x:v>
      </x:c>
      <x:c r="L28" s="377"/>
      <x:c r="M28" s="377"/>
      <x:c r="N28" s="377"/>
      <x:c r="O28" s="377"/>
      <x:c r="P28" s="377"/>
      <x:c r="Q28" s="377"/>
      <x:c r="R28" s="377"/>
      <x:c r="S28" s="377"/>
      <x:c r="T28" s="117"/>
      <x:c r="U28" s="59"/>
      <x:c r="W28" s="33"/>
    </x:row>
    <x:row r="29" ht="15" customHeight="1">
      <x:c r="A29" s="136"/>
      <x:c r="B29" s="133"/>
      <x:c r="C29" s="54"/>
      <x:c r="D29" s="38"/>
      <x:c r="E29" s="38"/>
      <x:c r="F29" s="38"/>
      <x:c r="G29" s="41"/>
      <x:c r="H29" s="41"/>
      <x:c r="I29" s="37"/>
      <x:c r="J29" s="45"/>
      <x:c r="K29" s="46"/>
      <x:c r="L29" s="47"/>
      <x:c r="M29" s="47"/>
      <x:c r="N29" s="47"/>
      <x:c r="O29" s="47"/>
      <x:c r="P29" s="47"/>
      <x:c r="Q29" s="47"/>
      <x:c r="R29" s="47"/>
      <x:c r="S29" s="47"/>
      <x:c r="T29" s="117"/>
      <x:c r="U29" s="59"/>
      <x:c r="W29" s="33"/>
    </x:row>
    <x:row r="30" ht="15" customHeight="1">
      <x:c r="A30" s="136"/>
      <x:c r="B30" s="133"/>
      <x:c r="C30" s="54"/>
      <x:c r="D30" s="36"/>
      <x:c r="E30" s="36"/>
      <x:c r="F30" s="35"/>
      <x:c r="G30" s="35"/>
      <x:c r="H30" s="35"/>
      <x:c r="I30" s="35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121"/>
      <x:c r="U30" s="59"/>
      <x:c r="W30" s="33"/>
    </x:row>
    <x:row r="31" ht="15" customHeight="1">
      <x:c r="A31" s="136"/>
      <x:c r="B31" s="133"/>
      <x:c r="C31" s="54"/>
      <x:c r="D31" s="35"/>
      <x:c r="E31" s="35"/>
      <x:c r="F31" s="35"/>
      <x:c r="G31" s="94" t="s">
        <x:v>3</x:v>
      </x:c>
      <x:c r="H31" s="95" t="s">
        <x:v>116</x:v>
      </x:c>
      <x:c r="I31" s="96" t="s">
        <x:v>44</x:v>
      </x:c>
      <x:c r="J31" s="96" t="n">
        <x:v>2026</x:v>
      </x:c>
      <x:c r="K31" s="96" t="n">
        <x:f t="shared" ref="K31:S31" si="2">+J31+1</x:f>
        <x:v>2027</x:v>
      </x:c>
      <x:c r="L31" s="96" t="n">
        <x:f t="shared" si="2"/>
        <x:v>2028</x:v>
      </x:c>
      <x:c r="M31" s="96" t="n">
        <x:f t="shared" si="2"/>
        <x:v>2029</x:v>
      </x:c>
      <x:c r="N31" s="96" t="n">
        <x:f t="shared" si="2"/>
        <x:v>2030</x:v>
      </x:c>
      <x:c r="O31" s="96" t="n">
        <x:f t="shared" si="2"/>
        <x:v>2031</x:v>
      </x:c>
      <x:c r="P31" s="96" t="n">
        <x:f t="shared" si="2"/>
        <x:v>2032</x:v>
      </x:c>
      <x:c r="Q31" s="96" t="n">
        <x:f t="shared" si="2"/>
        <x:v>2033</x:v>
      </x:c>
      <x:c r="R31" s="96" t="n">
        <x:f t="shared" si="2"/>
        <x:v>2034</x:v>
      </x:c>
      <x:c r="S31" s="96" t="n">
        <x:f t="shared" si="2"/>
        <x:v>2035</x:v>
      </x:c>
      <x:c r="T31" s="121"/>
      <x:c r="U31" s="59"/>
      <x:c r="W31" s="33"/>
    </x:row>
    <x:row r="32" ht="23.25" customHeight="1">
      <x:c r="A32" s="136"/>
      <x:c r="B32" s="133"/>
      <x:c r="C32" s="54"/>
      <x:c r="D32" s="72" t="s">
        <x:v>128</x:v>
      </x:c>
      <x:c r="E32" s="72" t="s">
        <x:v>129</x:v>
      </x:c>
      <x:c r="F32" s="67"/>
      <x:c r="G32" s="66"/>
      <x:c r="H32" s="66"/>
      <x:c r="I32" s="68"/>
      <x:c r="J32" s="73"/>
      <x:c r="K32" s="73"/>
      <x:c r="L32" s="73"/>
      <x:c r="M32" s="73"/>
      <x:c r="N32" s="73"/>
      <x:c r="O32" s="73"/>
      <x:c r="P32" s="73"/>
      <x:c r="Q32" s="73"/>
      <x:c r="R32" s="73"/>
      <x:c r="S32" s="101"/>
      <x:c r="T32" s="120"/>
      <x:c r="U32" s="59"/>
      <x:c r="W32" s="33"/>
    </x:row>
    <x:row r="33" ht="18" customHeight="1">
      <x:c r="A33" s="136"/>
      <x:c r="B33" s="133"/>
      <x:c r="C33" s="54"/>
      <x:c r="D33" s="35"/>
      <x:c r="E33" s="35"/>
      <x:c r="F33" s="70"/>
      <x:c r="G33" s="372" t="s">
        <x:v>130</x:v>
      </x:c>
      <x:c r="H33" s="372"/>
      <x:c r="I33" s="372"/>
      <x:c r="J33" s="78"/>
      <x:c r="K33" s="78"/>
      <x:c r="L33" s="78"/>
      <x:c r="M33" s="78"/>
      <x:c r="N33" s="75"/>
      <x:c r="O33" s="75"/>
      <x:c r="P33" s="75"/>
      <x:c r="Q33" s="75"/>
      <x:c r="R33" s="75"/>
      <x:c r="S33" s="102"/>
      <x:c r="T33" s="120"/>
      <x:c r="U33" s="59"/>
      <x:c r="W33" s="33"/>
    </x:row>
    <x:row r="34" ht="15" customHeight="1">
      <x:c r="A34" s="136"/>
      <x:c r="B34" s="133"/>
      <x:c r="C34" s="54"/>
      <x:c r="D34" s="35"/>
      <x:c r="E34" s="35"/>
      <x:c r="F34" s="70"/>
      <x:c r="G34" s="92" t="s">
        <x:v>120</x:v>
      </x:c>
      <x:c r="H34" s="93" t="s">
        <x:v>121</x:v>
      </x:c>
      <x:c r="I34" s="91" t="str">
        <x:v>Internal rollout, testing and change effort</x:v>
      </x:c>
      <x:c r="J34" s="712" t="n">
        <x:v>50000</x:v>
      </x:c>
      <x:c r="K34" s="712"/>
      <x:c r="L34" s="712"/>
      <x:c r="M34" s="712"/>
      <x:c r="N34" s="712"/>
      <x:c r="O34" s="712"/>
      <x:c r="P34" s="712"/>
      <x:c r="Q34" s="712"/>
      <x:c r="R34" s="712"/>
      <x:c r="S34" s="712"/>
      <x:c r="T34" s="120"/>
      <x:c r="U34" s="59"/>
      <x:c r="W34" s="33"/>
    </x:row>
    <x:row r="35" ht="15" customHeight="1">
      <x:c r="A35" s="136"/>
      <x:c r="B35" s="133"/>
      <x:c r="C35" s="54"/>
      <x:c r="D35" s="35"/>
      <x:c r="E35" s="35"/>
      <x:c r="F35" s="70"/>
      <x:c r="G35" s="92" t="s">
        <x:v>122</x:v>
      </x:c>
      <x:c r="H35" s="93" t="s">
        <x:v>121</x:v>
      </x:c>
      <x:c r="I35" s="91" t="str">
        <x:v>External localisation, testing and launch support</x:v>
      </x:c>
      <x:c r="J35" s="712" t="n">
        <x:v>50000</x:v>
      </x:c>
      <x:c r="K35" s="712"/>
      <x:c r="L35" s="712"/>
      <x:c r="M35" s="712"/>
      <x:c r="N35" s="712"/>
      <x:c r="O35" s="712"/>
      <x:c r="P35" s="712"/>
      <x:c r="Q35" s="712"/>
      <x:c r="R35" s="712"/>
      <x:c r="S35" s="712"/>
      <x:c r="T35" s="120"/>
      <x:c r="U35" s="59"/>
      <x:c r="W35" s="33"/>
    </x:row>
    <x:row r="36" ht="18" customHeight="1">
      <x:c r="A36" s="136"/>
      <x:c r="B36" s="133"/>
      <x:c r="C36" s="54"/>
      <x:c r="D36" s="35"/>
      <x:c r="E36" s="42"/>
      <x:c r="F36" s="70"/>
      <x:c r="G36" s="372" t="s">
        <x:v>131</x:v>
      </x:c>
      <x:c r="H36" s="372"/>
      <x:c r="I36" s="372"/>
      <x:c r="J36" s="80"/>
      <x:c r="K36" s="80"/>
      <x:c r="L36" s="80"/>
      <x:c r="M36" s="80"/>
      <x:c r="N36" s="80"/>
      <x:c r="O36" s="80"/>
      <x:c r="P36" s="80"/>
      <x:c r="Q36" s="80"/>
      <x:c r="R36" s="80"/>
      <x:c r="S36" s="103"/>
      <x:c r="T36" s="120"/>
      <x:c r="U36" s="59"/>
      <x:c r="W36" s="33"/>
    </x:row>
    <x:row r="37" ht="15" customHeight="1">
      <x:c r="A37" s="136"/>
      <x:c r="B37" s="133"/>
      <x:c r="C37" s="54"/>
      <x:c r="D37" s="35"/>
      <x:c r="E37" s="42"/>
      <x:c r="F37" s="70"/>
      <x:c r="G37" s="92" t="s">
        <x:v>120</x:v>
      </x:c>
      <x:c r="H37" s="93" t="s">
        <x:v>132</x:v>
      </x:c>
      <x:c r="I37" s="91" t="str">
        <x:v>Internal product support and operations</x:v>
      </x:c>
      <x:c r="J37" s="712"/>
      <x:c r="K37" s="712" t="n">
        <x:v>25000</x:v>
      </x:c>
      <x:c r="L37" s="712" t="n">
        <x:v>25000</x:v>
      </x:c>
      <x:c r="M37" s="712" t="n">
        <x:v>25000</x:v>
      </x:c>
      <x:c r="N37" s="712" t="n">
        <x:v>25000</x:v>
      </x:c>
      <x:c r="O37" s="712" t="n">
        <x:v>25000</x:v>
      </x:c>
      <x:c r="P37" s="712" t="n">
        <x:v>25000</x:v>
      </x:c>
      <x:c r="Q37" s="712" t="n">
        <x:v>25000</x:v>
      </x:c>
      <x:c r="R37" s="712" t="n">
        <x:v>25000</x:v>
      </x:c>
      <x:c r="S37" s="712" t="n">
        <x:v>25000</x:v>
      </x:c>
      <x:c r="T37" s="120"/>
      <x:c r="U37" s="59"/>
      <x:c r="W37" s="33"/>
    </x:row>
    <x:row r="38" ht="18" customHeight="1">
      <x:c r="A38" s="136"/>
      <x:c r="B38" s="133"/>
      <x:c r="C38" s="54"/>
      <x:c r="D38" s="35"/>
      <x:c r="E38" s="42"/>
      <x:c r="F38" s="70"/>
      <x:c r="G38" s="372" t="s">
        <x:v>133</x:v>
      </x:c>
      <x:c r="H38" s="372"/>
      <x:c r="I38" s="372"/>
      <x:c r="J38" s="80"/>
      <x:c r="K38" s="80"/>
      <x:c r="L38" s="80"/>
      <x:c r="M38" s="80"/>
      <x:c r="N38" s="80"/>
      <x:c r="O38" s="80"/>
      <x:c r="P38" s="80"/>
      <x:c r="Q38" s="80"/>
      <x:c r="R38" s="80"/>
      <x:c r="S38" s="103"/>
      <x:c r="T38" s="120"/>
      <x:c r="U38" s="59"/>
      <x:c r="W38" s="33"/>
    </x:row>
    <x:row r="39" ht="15" customHeight="1">
      <x:c r="A39" s="136"/>
      <x:c r="B39" s="133"/>
      <x:c r="C39" s="54"/>
      <x:c r="D39" s="35"/>
      <x:c r="E39" s="35"/>
      <x:c r="F39" s="70"/>
      <x:c r="G39" s="92" t="s">
        <x:v>122</x:v>
      </x:c>
      <x:c r="H39" s="93" t="s">
        <x:v>132</x:v>
      </x:c>
      <x:c r="I39" s="91" t="str">
        <x:v>SaaS for push communication and customer analytics</x:v>
      </x:c>
      <x:c r="J39" s="712"/>
      <x:c r="K39" s="712" t="n">
        <x:v>30000</x:v>
      </x:c>
      <x:c r="L39" s="712" t="n">
        <x:v>30000</x:v>
      </x:c>
      <x:c r="M39" s="712" t="n">
        <x:v>30000</x:v>
      </x:c>
      <x:c r="N39" s="712" t="n">
        <x:v>30000</x:v>
      </x:c>
      <x:c r="O39" s="712" t="n">
        <x:v>30000</x:v>
      </x:c>
      <x:c r="P39" s="712" t="n">
        <x:v>30000</x:v>
      </x:c>
      <x:c r="Q39" s="712" t="n">
        <x:v>30000</x:v>
      </x:c>
      <x:c r="R39" s="712" t="n">
        <x:v>30000</x:v>
      </x:c>
      <x:c r="S39" s="712" t="n">
        <x:v>30000</x:v>
      </x:c>
      <x:c r="T39" s="120"/>
      <x:c r="U39" s="59"/>
      <x:c r="W39" s="33"/>
    </x:row>
    <x:row r="40" ht="18" customHeight="1">
      <x:c r="A40" s="136"/>
      <x:c r="B40" s="133"/>
      <x:c r="C40" s="54"/>
      <x:c r="D40" s="35"/>
      <x:c r="E40" s="42"/>
      <x:c r="F40" s="70"/>
      <x:c r="G40" s="372" t="s">
        <x:v>134</x:v>
      </x:c>
      <x:c r="H40" s="372"/>
      <x:c r="I40" s="372"/>
      <x:c r="J40" s="80"/>
      <x:c r="K40" s="80"/>
      <x:c r="L40" s="80"/>
      <x:c r="M40" s="80"/>
      <x:c r="N40" s="80"/>
      <x:c r="O40" s="80"/>
      <x:c r="P40" s="80"/>
      <x:c r="Q40" s="80"/>
      <x:c r="R40" s="80"/>
      <x:c r="S40" s="103"/>
      <x:c r="T40" s="120"/>
      <x:c r="U40" s="59"/>
      <x:c r="W40" s="33"/>
    </x:row>
    <x:row r="41" ht="15" customHeight="1">
      <x:c r="A41" s="136"/>
      <x:c r="B41" s="133"/>
      <x:c r="C41" s="54"/>
      <x:c r="D41" s="35"/>
      <x:c r="E41" s="35"/>
      <x:c r="F41" s="70"/>
      <x:c r="G41" s="92" t="s">
        <x:v>122</x:v>
      </x:c>
      <x:c r="H41" s="93" t="s">
        <x:v>132</x:v>
      </x:c>
      <x:c r="I41" s="91" t="str">
        <x:v>External maintenance for mobile components</x:v>
      </x:c>
      <x:c r="J41" s="712"/>
      <x:c r="K41" s="712" t="n">
        <x:v>20000</x:v>
      </x:c>
      <x:c r="L41" s="712" t="n">
        <x:v>20000</x:v>
      </x:c>
      <x:c r="M41" s="712" t="n">
        <x:v>20000</x:v>
      </x:c>
      <x:c r="N41" s="712" t="n">
        <x:v>20000</x:v>
      </x:c>
      <x:c r="O41" s="712" t="n">
        <x:v>20000</x:v>
      </x:c>
      <x:c r="P41" s="712" t="n">
        <x:v>20000</x:v>
      </x:c>
      <x:c r="Q41" s="712" t="n">
        <x:v>20000</x:v>
      </x:c>
      <x:c r="R41" s="712" t="n">
        <x:v>20000</x:v>
      </x:c>
      <x:c r="S41" s="712" t="n">
        <x:v>20000</x:v>
      </x:c>
      <x:c r="T41" s="120"/>
      <x:c r="U41" s="59"/>
      <x:c r="W41" s="33"/>
    </x:row>
    <x:row r="42" ht="18" customHeight="1">
      <x:c r="A42" s="136"/>
      <x:c r="B42" s="133"/>
      <x:c r="C42" s="54"/>
      <x:c r="D42" s="35"/>
      <x:c r="E42" s="42"/>
      <x:c r="F42" s="70"/>
      <x:c r="G42" s="372" t="s">
        <x:v>135</x:v>
      </x:c>
      <x:c r="H42" s="372"/>
      <x:c r="I42" s="372"/>
      <x:c r="J42" s="80"/>
      <x:c r="K42" s="80"/>
      <x:c r="L42" s="80"/>
      <x:c r="M42" s="80"/>
      <x:c r="N42" s="80"/>
      <x:c r="O42" s="80"/>
      <x:c r="P42" s="80"/>
      <x:c r="Q42" s="80"/>
      <x:c r="R42" s="80"/>
      <x:c r="S42" s="103"/>
      <x:c r="T42" s="120"/>
      <x:c r="U42" s="59"/>
      <x:c r="W42" s="33"/>
    </x:row>
    <x:row r="43" ht="15" customHeight="1">
      <x:c r="A43" s="136"/>
      <x:c r="B43" s="133"/>
      <x:c r="C43" s="54"/>
      <x:c r="D43" s="35"/>
      <x:c r="E43" s="42"/>
      <x:c r="F43" s="70"/>
      <x:c r="G43" s="92" t="s">
        <x:v>120</x:v>
      </x:c>
      <x:c r="H43" s="93" t="s">
        <x:v>132</x:v>
      </x:c>
      <x:c r="I43" s="91" t="str"/>
      <x:c r="J43" s="712"/>
      <x:c r="K43" s="712"/>
      <x:c r="L43" s="712"/>
      <x:c r="M43" s="712"/>
      <x:c r="N43" s="712"/>
      <x:c r="O43" s="712"/>
      <x:c r="P43" s="712"/>
      <x:c r="Q43" s="712"/>
      <x:c r="R43" s="712"/>
      <x:c r="S43" s="712"/>
      <x:c r="T43" s="120"/>
      <x:c r="U43" s="59"/>
      <x:c r="W43" s="33"/>
    </x:row>
    <x:row r="44" ht="18" customHeight="1">
      <x:c r="A44" s="136"/>
      <x:c r="B44" s="133"/>
      <x:c r="C44" s="54"/>
      <x:c r="D44" s="35"/>
      <x:c r="E44" s="42"/>
      <x:c r="F44" s="70"/>
      <x:c r="G44" s="372" t="s">
        <x:v>136</x:v>
      </x:c>
      <x:c r="H44" s="372"/>
      <x:c r="I44" s="372"/>
      <x:c r="J44" s="80"/>
      <x:c r="K44" s="80"/>
      <x:c r="L44" s="80"/>
      <x:c r="M44" s="80"/>
      <x:c r="N44" s="80"/>
      <x:c r="O44" s="80"/>
      <x:c r="P44" s="80"/>
      <x:c r="Q44" s="80"/>
      <x:c r="R44" s="80"/>
      <x:c r="S44" s="103"/>
      <x:c r="T44" s="120"/>
      <x:c r="U44" s="59"/>
      <x:c r="W44" s="33"/>
    </x:row>
    <x:row r="45" ht="15" customHeight="1">
      <x:c r="A45" s="136"/>
      <x:c r="B45" s="133"/>
      <x:c r="C45" s="54"/>
      <x:c r="D45" s="35"/>
      <x:c r="E45" s="42"/>
      <x:c r="F45" s="70"/>
      <x:c r="G45" s="92" t="s">
        <x:v>120</x:v>
      </x:c>
      <x:c r="H45" s="93" t="s">
        <x:v>132</x:v>
      </x:c>
      <x:c r="I45" s="91" t="str"/>
      <x:c r="J45" s="712"/>
      <x:c r="K45" s="712"/>
      <x:c r="L45" s="712"/>
      <x:c r="M45" s="712"/>
      <x:c r="N45" s="712"/>
      <x:c r="O45" s="712"/>
      <x:c r="P45" s="712"/>
      <x:c r="Q45" s="712"/>
      <x:c r="R45" s="712"/>
      <x:c r="S45" s="712"/>
      <x:c r="T45" s="120"/>
      <x:c r="U45" s="59"/>
      <x:c r="W45" s="48"/>
      <x:c r="X45" s="48"/>
      <x:c r="Y45" s="48"/>
      <x:c r="Z45" s="48"/>
      <x:c r="AA45" s="48"/>
      <x:c r="AB45" s="48"/>
      <x:c r="AC45" s="48"/>
      <x:c r="AD45" s="48"/>
    </x:row>
    <x:row r="46" ht="18" customHeight="1">
      <x:c r="A46" s="136"/>
      <x:c r="B46" s="133"/>
      <x:c r="C46" s="54"/>
      <x:c r="D46" s="35"/>
      <x:c r="E46" s="42"/>
      <x:c r="F46" s="70"/>
      <x:c r="G46" s="372" t="s">
        <x:v>137</x:v>
      </x:c>
      <x:c r="H46" s="372"/>
      <x:c r="I46" s="372"/>
      <x:c r="J46" s="80"/>
      <x:c r="K46" s="80"/>
      <x:c r="L46" s="80"/>
      <x:c r="M46" s="80"/>
      <x:c r="N46" s="80"/>
      <x:c r="O46" s="80"/>
      <x:c r="P46" s="80"/>
      <x:c r="Q46" s="80"/>
      <x:c r="R46" s="80"/>
      <x:c r="S46" s="103"/>
      <x:c r="T46" s="120"/>
      <x:c r="U46" s="59"/>
      <x:c r="W46" s="48"/>
      <x:c r="X46" s="48"/>
      <x:c r="Y46" s="48"/>
      <x:c r="Z46" s="48"/>
      <x:c r="AA46" s="48"/>
      <x:c r="AB46" s="48"/>
      <x:c r="AC46" s="48"/>
      <x:c r="AD46" s="48"/>
    </x:row>
    <x:row r="47" ht="15" customHeight="1">
      <x:c r="A47" s="136"/>
      <x:c r="B47" s="133"/>
      <x:c r="C47" s="54"/>
      <x:c r="D47" s="35"/>
      <x:c r="E47" s="42"/>
      <x:c r="F47" s="70"/>
      <x:c r="G47" s="92" t="s">
        <x:v>120</x:v>
      </x:c>
      <x:c r="H47" s="93" t="s">
        <x:v>121</x:v>
      </x:c>
      <x:c r="I47" s="91" t="str"/>
      <x:c r="J47" s="712"/>
      <x:c r="K47" s="712"/>
      <x:c r="L47" s="712"/>
      <x:c r="M47" s="712"/>
      <x:c r="N47" s="712"/>
      <x:c r="O47" s="712"/>
      <x:c r="P47" s="712"/>
      <x:c r="Q47" s="712"/>
      <x:c r="R47" s="712"/>
      <x:c r="S47" s="712"/>
      <x:c r="T47" s="120"/>
      <x:c r="U47" s="59"/>
      <x:c r="W47" s="48"/>
      <x:c r="X47" s="48"/>
      <x:c r="Y47" s="48"/>
      <x:c r="Z47" s="48"/>
      <x:c r="AA47" s="48"/>
      <x:c r="AB47" s="48"/>
      <x:c r="AC47" s="48"/>
      <x:c r="AD47" s="48"/>
    </x:row>
    <x:row r="48" ht="15" customHeight="1">
      <x:c r="A48" s="136"/>
      <x:c r="B48" s="133"/>
      <x:c r="C48" s="54"/>
      <x:c r="D48" s="35"/>
      <x:c r="E48" s="42"/>
      <x:c r="F48" s="70"/>
      <x:c r="G48" s="92" t="s">
        <x:v>120</x:v>
      </x:c>
      <x:c r="H48" s="93" t="s">
        <x:v>132</x:v>
      </x:c>
      <x:c r="I48" s="91" t="str"/>
      <x:c r="J48" s="712"/>
      <x:c r="K48" s="712"/>
      <x:c r="L48" s="712"/>
      <x:c r="M48" s="712"/>
      <x:c r="N48" s="712"/>
      <x:c r="O48" s="712"/>
      <x:c r="P48" s="712"/>
      <x:c r="Q48" s="712"/>
      <x:c r="R48" s="712"/>
      <x:c r="S48" s="712"/>
      <x:c r="T48" s="120"/>
      <x:c r="U48" s="59"/>
      <x:c r="W48" s="48"/>
      <x:c r="X48" s="48"/>
      <x:c r="Y48" s="48"/>
      <x:c r="Z48" s="48"/>
      <x:c r="AA48" s="48"/>
      <x:c r="AB48" s="48"/>
      <x:c r="AC48" s="48"/>
      <x:c r="AD48" s="48"/>
    </x:row>
    <x:row r="49" ht="15" customHeight="1">
      <x:c r="A49" s="136"/>
      <x:c r="B49" s="133"/>
      <x:c r="C49" s="54"/>
      <x:c r="D49" s="35"/>
      <x:c r="E49" s="42"/>
      <x:c r="F49" s="70"/>
      <x:c r="G49" s="81"/>
      <x:c r="H49" s="81"/>
      <x:c r="I49" s="81"/>
      <x:c r="J49" s="82"/>
      <x:c r="K49" s="82"/>
      <x:c r="L49" s="82"/>
      <x:c r="M49" s="82"/>
      <x:c r="N49" s="82"/>
      <x:c r="O49" s="82"/>
      <x:c r="P49" s="83"/>
      <x:c r="Q49" s="83"/>
      <x:c r="R49" s="83"/>
      <x:c r="S49" s="84"/>
      <x:c r="T49" s="117"/>
      <x:c r="U49" s="59"/>
      <x:c r="W49" s="48"/>
      <x:c r="X49" s="48"/>
      <x:c r="Y49" s="48"/>
      <x:c r="Z49" s="48"/>
      <x:c r="AA49" s="48"/>
      <x:c r="AB49" s="48"/>
      <x:c r="AC49" s="48"/>
      <x:c r="AD49" s="48"/>
    </x:row>
    <x:row r="50" ht="15" customHeight="1">
      <x:c r="A50" s="136"/>
      <x:c r="B50" s="133"/>
      <x:c r="C50" s="54"/>
      <x:c r="D50" s="38"/>
      <x:c r="E50" s="38"/>
      <x:c r="F50" s="86"/>
      <x:c r="G50" s="89" t="s">
        <x:v>125</x:v>
      </x:c>
      <x:c r="H50" s="87"/>
      <x:c r="I50" s="88"/>
      <x:c r="J50" s="714" t="n">
        <x:f>J34+J35+J37+J39+J41+J43+J45+J47+J48</x:f>
        <x:v>100000</x:v>
      </x:c>
      <x:c r="K50" s="714" t="n">
        <x:f t="shared" ref="K50:S50" si="3">K34+K35+K37+K39+K41+K43+K45+K47+K48</x:f>
        <x:v>75000</x:v>
      </x:c>
      <x:c r="L50" s="714" t="n">
        <x:f t="shared" si="3">L34+L35+L37+L39+L41+L43+L45+L47+L48</x:f>
        <x:v>75000</x:v>
      </x:c>
      <x:c r="M50" s="714" t="n">
        <x:f t="shared" si="3">M34+M35+M37+M39+M41+M43+M45+M47+M48</x:f>
        <x:v>75000</x:v>
      </x:c>
      <x:c r="N50" s="714" t="n">
        <x:f t="shared" si="3">N34+N35+N37+N39+N41+N43+N45+N47+N48</x:f>
        <x:v>75000</x:v>
      </x:c>
      <x:c r="O50" s="714" t="n">
        <x:f t="shared" si="3">O34+O35+O37+O39+O41+O43+O45+O47+O48</x:f>
        <x:v>75000</x:v>
      </x:c>
      <x:c r="P50" s="714" t="n">
        <x:f t="shared" si="3">P34+P35+P37+P39+P41+P43+P45+P47+P48</x:f>
        <x:v>75000</x:v>
      </x:c>
      <x:c r="Q50" s="714" t="n">
        <x:f t="shared" si="3">Q34+Q35+Q37+Q39+Q41+Q43+Q45+Q47+Q48</x:f>
        <x:v>75000</x:v>
      </x:c>
      <x:c r="R50" s="714" t="n">
        <x:f t="shared" si="3">R34+R35+R37+R39+R41+R43+R45+R47+R48</x:f>
        <x:v>75000</x:v>
      </x:c>
      <x:c r="S50" s="714" t="n">
        <x:f t="shared" si="3">S34+S35+S37+S39+S41+S43+S45+S47+S48</x:f>
        <x:v>75000</x:v>
      </x:c>
      <x:c r="T50" s="117"/>
      <x:c r="U50" s="59"/>
      <x:c r="W50" s="48"/>
      <x:c r="X50" s="48"/>
      <x:c r="Y50" s="48"/>
      <x:c r="Z50" s="48"/>
      <x:c r="AA50" s="48"/>
      <x:c r="AB50" s="48"/>
      <x:c r="AC50" s="48"/>
      <x:c r="AD50" s="48"/>
    </x:row>
    <x:row r="51" ht="15" customHeight="1">
      <x:c r="A51" s="136"/>
      <x:c r="B51" s="133"/>
      <x:c r="C51" s="54"/>
      <x:c r="D51" s="38"/>
      <x:c r="E51" s="38"/>
      <x:c r="F51" s="38"/>
      <x:c r="G51" s="35"/>
      <x:c r="H51" s="35"/>
      <x:c r="I51" s="37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117"/>
      <x:c r="U51" s="59"/>
      <x:c r="W51" s="48"/>
      <x:c r="X51" s="48"/>
      <x:c r="Y51" s="48"/>
      <x:c r="Z51" s="48"/>
      <x:c r="AA51" s="48"/>
      <x:c r="AB51" s="48"/>
      <x:c r="AC51" s="48"/>
      <x:c r="AD51" s="48"/>
    </x:row>
    <x:row r="52" ht="15" customHeight="1">
      <x:c r="A52" s="136"/>
      <x:c r="B52" s="133"/>
      <x:c r="C52" s="54"/>
      <x:c r="D52" s="38"/>
      <x:c r="E52" s="38"/>
      <x:c r="F52" s="38"/>
      <x:c r="G52" s="35"/>
      <x:c r="H52" s="35"/>
      <x:c r="I52" s="37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117"/>
      <x:c r="U52" s="59"/>
      <x:c r="W52" s="48"/>
      <x:c r="X52" s="48"/>
      <x:c r="Y52" s="48"/>
      <x:c r="Z52" s="48"/>
      <x:c r="AA52" s="48"/>
      <x:c r="AB52" s="48"/>
      <x:c r="AC52" s="48"/>
      <x:c r="AD52" s="48"/>
    </x:row>
    <x:row r="53" ht="15" customHeight="1">
      <x:c r="A53" s="136"/>
      <x:c r="B53" s="133"/>
      <x:c r="C53" s="54"/>
      <x:c r="D53" s="72" t="s">
        <x:v>138</x:v>
      </x:c>
      <x:c r="E53" s="72" t="s">
        <x:v>139</x:v>
      </x:c>
      <x:c r="F53" s="67"/>
      <x:c r="G53" s="66"/>
      <x:c r="H53" s="72"/>
      <x:c r="I53" s="98"/>
      <x:c r="J53" s="96" t="n">
        <x:f t="shared" ref="J53:S53" si="4">+J16</x:f>
        <x:v>2026</x:v>
      </x:c>
      <x:c r="K53" s="96" t="n">
        <x:f t="shared" si="4"/>
        <x:v>2027</x:v>
      </x:c>
      <x:c r="L53" s="96" t="n">
        <x:f t="shared" si="4"/>
        <x:v>2028</x:v>
      </x:c>
      <x:c r="M53" s="96" t="n">
        <x:f t="shared" si="4"/>
        <x:v>2029</x:v>
      </x:c>
      <x:c r="N53" s="96" t="n">
        <x:f t="shared" si="4"/>
        <x:v>2030</x:v>
      </x:c>
      <x:c r="O53" s="96" t="n">
        <x:f t="shared" si="4"/>
        <x:v>2031</x:v>
      </x:c>
      <x:c r="P53" s="96" t="n">
        <x:f t="shared" si="4"/>
        <x:v>2032</x:v>
      </x:c>
      <x:c r="Q53" s="96" t="n">
        <x:f t="shared" si="4"/>
        <x:v>2033</x:v>
      </x:c>
      <x:c r="R53" s="96" t="n">
        <x:f t="shared" si="4"/>
        <x:v>2034</x:v>
      </x:c>
      <x:c r="S53" s="96" t="n">
        <x:f t="shared" si="4"/>
        <x:v>2035</x:v>
      </x:c>
      <x:c r="T53" s="117"/>
      <x:c r="U53" s="59"/>
      <x:c r="W53" s="48"/>
      <x:c r="X53" s="48"/>
      <x:c r="Y53" s="48"/>
      <x:c r="Z53" s="48"/>
      <x:c r="AA53" s="48"/>
      <x:c r="AB53" s="48"/>
      <x:c r="AC53" s="48"/>
      <x:c r="AD53" s="48"/>
    </x:row>
    <x:row r="54" ht="15" hidden="1" customHeight="1">
      <x:c r="A54" s="136"/>
      <x:c r="B54" s="133"/>
      <x:c r="C54" s="54"/>
      <x:c r="D54" s="35"/>
      <x:c r="E54" s="44"/>
      <x:c r="F54" s="97"/>
      <x:c r="G54" s="266" t="str">
        <x:f>"Investment from "&amp;J53</x:f>
        <x:v>Investment from 2026</x:v>
      </x:c>
      <x:c r="H54" s="44"/>
      <x:c r="I54" s="35"/>
      <x:c r="J54" s="99" t="n">
        <x:f>IF(J$53=$Q$11,SUM($J$19:$S$20),0)+J$22+J$24</x:f>
        <x:v>150000</x:v>
      </x:c>
      <x:c r="K54" s="99"/>
      <x:c r="L54" s="99"/>
      <x:c r="M54" s="99"/>
      <x:c r="N54" s="99"/>
      <x:c r="O54" s="99"/>
      <x:c r="P54" s="99"/>
      <x:c r="Q54" s="99"/>
      <x:c r="R54" s="99"/>
      <x:c r="S54" s="99"/>
      <x:c r="T54" s="117"/>
      <x:c r="U54" s="59"/>
      <x:c r="W54" s="48"/>
      <x:c r="X54" s="48"/>
      <x:c r="Y54" s="48"/>
      <x:c r="Z54" s="48"/>
      <x:c r="AA54" s="48"/>
      <x:c r="AB54" s="48"/>
      <x:c r="AC54" s="48"/>
      <x:c r="AD54" s="48"/>
    </x:row>
    <x:row r="55" s="48" customFormat="1" ht="15" customHeight="1">
      <x:c r="A55" s="136"/>
      <x:c r="B55" s="133"/>
      <x:c r="C55" s="54"/>
      <x:c r="D55" s="44"/>
      <x:c r="E55" s="44"/>
      <x:c r="F55" s="97"/>
      <x:c r="G55" s="371" t="str">
        <x:f>"Depreciation from "&amp;J16-1</x:f>
        <x:v>Depreciation from 2025</x:v>
      </x:c>
      <x:c r="H55" s="371"/>
      <x:c r="I55" s="371"/>
      <x:c r="J55" s="99" t="n">
        <x:f>J54/$J$28/2</x:f>
        <x:v>15000</x:v>
      </x:c>
      <x:c r="K55" s="99" t="n">
        <x:f t="shared" ref="K55:S55" si="5">IF($J$54/$J$28&lt;J56,$J$54/$J$28,J56)</x:f>
        <x:v>30000</x:v>
      </x:c>
      <x:c r="L55" s="99">
        <x:f t="shared" si="5"/>
        <x:v>9135.6</x:v>
      </x:c>
      <x:c r="M55" s="99">
        <x:f t="shared" si="5"/>
        <x:v>9135.6</x:v>
      </x:c>
      <x:c r="N55" s="99">
        <x:f t="shared" si="5"/>
        <x:v>9135.6</x:v>
      </x:c>
      <x:c r="O55" s="99">
        <x:f t="shared" si="5"/>
        <x:v>4567.7999999999993</x:v>
      </x:c>
      <x:c r="P55" s="99">
        <x:f t="shared" si="5"/>
        <x:v>0</x:v>
      </x:c>
      <x:c r="Q55" s="99">
        <x:f t="shared" si="5"/>
        <x:v>0</x:v>
      </x:c>
      <x:c r="R55" s="99">
        <x:f t="shared" si="5"/>
        <x:v>0</x:v>
      </x:c>
      <x:c r="S55" s="104">
        <x:f t="shared" si="5"/>
        <x:v>0</x:v>
      </x:c>
      <x:c r="T55" s="117"/>
      <x:c r="U55" s="59"/>
    </x:row>
    <x:row r="56" s="48" customFormat="1" ht="15" hidden="1" customHeight="1">
      <x:c r="A56" s="136"/>
      <x:c r="B56" s="133"/>
      <x:c r="C56" s="54"/>
      <x:c r="D56" s="44"/>
      <x:c r="E56" s="44"/>
      <x:c r="F56" s="97"/>
      <x:c r="G56" s="266" t="s">
        <x:v>140</x:v>
      </x:c>
      <x:c r="H56" s="35"/>
      <x:c r="I56" s="44"/>
      <x:c r="J56" s="99" t="n">
        <x:f>J54-J55</x:f>
        <x:v>135000</x:v>
      </x:c>
      <x:c r="K56" s="99" t="n">
        <x:f t="shared" ref="K56:S56" si="6">J56-K55</x:f>
        <x:v>105000</x:v>
      </x:c>
      <x:c r="L56" s="99">
        <x:f t="shared" si="6"/>
        <x:v>22839</x:v>
      </x:c>
      <x:c r="M56" s="99">
        <x:f t="shared" si="6"/>
        <x:v>13703.4</x:v>
      </x:c>
      <x:c r="N56" s="99">
        <x:f t="shared" si="6"/>
        <x:v>4567.7999999999993</x:v>
      </x:c>
      <x:c r="O56" s="99">
        <x:f t="shared" si="6"/>
        <x:v>0</x:v>
      </x:c>
      <x:c r="P56" s="99">
        <x:f t="shared" si="6"/>
        <x:v>0</x:v>
      </x:c>
      <x:c r="Q56" s="99">
        <x:f t="shared" si="6"/>
        <x:v>0</x:v>
      </x:c>
      <x:c r="R56" s="99">
        <x:f t="shared" si="6"/>
        <x:v>0</x:v>
      </x:c>
      <x:c r="S56" s="104">
        <x:f t="shared" si="6"/>
        <x:v>0</x:v>
      </x:c>
      <x:c r="T56" s="117"/>
      <x:c r="U56" s="59"/>
    </x:row>
    <x:row r="57" s="48" customFormat="1" ht="15" hidden="1" customHeight="1">
      <x:c r="A57" s="136"/>
      <x:c r="B57" s="133"/>
      <x:c r="C57" s="54"/>
      <x:c r="D57" s="44"/>
      <x:c r="E57" s="44"/>
      <x:c r="F57" s="97"/>
      <x:c r="G57" s="266" t="str">
        <x:f>"Investment from "&amp;K$53</x:f>
        <x:v>Investment from 2027</x:v>
      </x:c>
      <x:c r="H57" s="35"/>
      <x:c r="I57" s="44"/>
      <x:c r="J57" s="99"/>
      <x:c r="K57" s="99" t="n">
        <x:f>IF(K$53=$Q$11,SUM($J$19:$S$20),0)+K$22+K$24</x:f>
        <x:v>650000</x:v>
      </x:c>
      <x:c r="L57" s="99"/>
      <x:c r="M57" s="99"/>
      <x:c r="N57" s="99"/>
      <x:c r="O57" s="99"/>
      <x:c r="P57" s="99"/>
      <x:c r="Q57" s="99"/>
      <x:c r="R57" s="99"/>
      <x:c r="S57" s="104"/>
      <x:c r="T57" s="117"/>
      <x:c r="U57" s="59"/>
    </x:row>
    <x:row r="58" s="48" customFormat="1" ht="15" customHeight="1">
      <x:c r="A58" s="136"/>
      <x:c r="B58" s="133"/>
      <x:c r="C58" s="54"/>
      <x:c r="D58" s="44"/>
      <x:c r="E58" s="44"/>
      <x:c r="F58" s="97"/>
      <x:c r="G58" s="371" t="str">
        <x:f>"Depreciation from "&amp;J53</x:f>
        <x:v>Depreciation from 2026</x:v>
      </x:c>
      <x:c r="H58" s="371"/>
      <x:c r="I58" s="371"/>
      <x:c r="J58" s="99"/>
      <x:c r="K58" s="99" t="n">
        <x:f>K57/$J$28/2</x:f>
        <x:v>65000</x:v>
      </x:c>
      <x:c r="L58" s="99" t="n">
        <x:f t="shared" ref="L58:S58" si="7">IF($K$57/$J$28&lt;K59,$K$57/$J$28,K59)</x:f>
        <x:v>130000</x:v>
      </x:c>
      <x:c r="M58" s="99">
        <x:f t="shared" si="7"/>
        <x:v>0</x:v>
      </x:c>
      <x:c r="N58" s="99">
        <x:f t="shared" si="7"/>
        <x:v>0</x:v>
      </x:c>
      <x:c r="O58" s="99">
        <x:f t="shared" si="7"/>
        <x:v>0</x:v>
      </x:c>
      <x:c r="P58" s="99">
        <x:f t="shared" si="7"/>
        <x:v>0</x:v>
      </x:c>
      <x:c r="Q58" s="99">
        <x:f t="shared" si="7"/>
        <x:v>0</x:v>
      </x:c>
      <x:c r="R58" s="99">
        <x:f t="shared" si="7"/>
        <x:v>0</x:v>
      </x:c>
      <x:c r="S58" s="104">
        <x:f t="shared" si="7"/>
        <x:v>0</x:v>
      </x:c>
      <x:c r="T58" s="117"/>
      <x:c r="U58" s="59"/>
    </x:row>
    <x:row r="59" s="48" customFormat="1" ht="15" hidden="1" customHeight="1">
      <x:c r="A59" s="136"/>
      <x:c r="B59" s="133"/>
      <x:c r="C59" s="54"/>
      <x:c r="D59" s="44"/>
      <x:c r="E59" s="44"/>
      <x:c r="F59" s="97"/>
      <x:c r="G59" s="266" t="s">
        <x:v>140</x:v>
      </x:c>
      <x:c r="H59" s="38"/>
      <x:c r="I59" s="41"/>
      <x:c r="J59" s="99"/>
      <x:c r="K59" s="99" t="n">
        <x:f>K57-K58</x:f>
        <x:v>585000</x:v>
      </x:c>
      <x:c r="L59" s="99" t="n">
        <x:f t="shared" ref="L59:S59" si="8">K59-L58</x:f>
        <x:v>455000</x:v>
      </x:c>
      <x:c r="M59" s="99">
        <x:f t="shared" si="8"/>
        <x:v>0</x:v>
      </x:c>
      <x:c r="N59" s="99">
        <x:f t="shared" si="8"/>
        <x:v>0</x:v>
      </x:c>
      <x:c r="O59" s="99">
        <x:f t="shared" si="8"/>
        <x:v>0</x:v>
      </x:c>
      <x:c r="P59" s="99">
        <x:f t="shared" si="8"/>
        <x:v>0</x:v>
      </x:c>
      <x:c r="Q59" s="99">
        <x:f t="shared" si="8"/>
        <x:v>0</x:v>
      </x:c>
      <x:c r="R59" s="99">
        <x:f t="shared" si="8"/>
        <x:v>0</x:v>
      </x:c>
      <x:c r="S59" s="104">
        <x:f t="shared" si="8"/>
        <x:v>0</x:v>
      </x:c>
      <x:c r="T59" s="117"/>
      <x:c r="U59" s="59"/>
    </x:row>
    <x:row r="60" s="48" customFormat="1" ht="15" hidden="1" customHeight="1">
      <x:c r="A60" s="136"/>
      <x:c r="B60" s="133"/>
      <x:c r="C60" s="54"/>
      <x:c r="D60" s="44"/>
      <x:c r="E60" s="44"/>
      <x:c r="F60" s="97"/>
      <x:c r="G60" s="371" t="str">
        <x:f>"Investment from "&amp;$L$53</x:f>
        <x:v>Investment from 2028</x:v>
      </x:c>
      <x:c r="H60" s="371"/>
      <x:c r="I60" s="371"/>
      <x:c r="J60" s="99"/>
      <x:c r="K60" s="99"/>
      <x:c r="L60" s="99" t="n">
        <x:f>IF(L$53=$Q$11,SUM($J$19:$S$20),0)+L$22+L$24</x:f>
        <x:v>0</x:v>
      </x:c>
      <x:c r="M60" s="99"/>
      <x:c r="N60" s="99"/>
      <x:c r="O60" s="99"/>
      <x:c r="P60" s="99"/>
      <x:c r="Q60" s="99"/>
      <x:c r="R60" s="99"/>
      <x:c r="S60" s="104"/>
      <x:c r="T60" s="117"/>
      <x:c r="U60" s="59"/>
    </x:row>
    <x:row r="61" s="48" customFormat="1" ht="15" customHeight="1">
      <x:c r="A61" s="136"/>
      <x:c r="B61" s="133"/>
      <x:c r="C61" s="54"/>
      <x:c r="D61" s="44"/>
      <x:c r="E61" s="44"/>
      <x:c r="F61" s="97"/>
      <x:c r="G61" s="371" t="str">
        <x:f>"Depreciation from "&amp;$K$53</x:f>
        <x:v>Depreciation from 2027</x:v>
      </x:c>
      <x:c r="H61" s="371"/>
      <x:c r="I61" s="371"/>
      <x:c r="J61" s="99"/>
      <x:c r="K61" s="99"/>
      <x:c r="L61" s="99" t="n">
        <x:f>L60/$J$28/2</x:f>
        <x:v>0</x:v>
      </x:c>
      <x:c r="M61" s="99" t="n">
        <x:f t="shared" ref="M61:S61" si="9">IF($L$60/$J$28&lt;L62,$L$60/$J$28,L62)</x:f>
        <x:v>0</x:v>
      </x:c>
      <x:c r="N61" s="99">
        <x:f t="shared" si="9"/>
        <x:v>140000</x:v>
      </x:c>
      <x:c r="O61" s="99">
        <x:f t="shared" si="9"/>
        <x:v>140000</x:v>
      </x:c>
      <x:c r="P61" s="99">
        <x:f t="shared" si="9"/>
        <x:v>140000</x:v>
      </x:c>
      <x:c r="Q61" s="99">
        <x:f t="shared" si="9"/>
        <x:v>70000</x:v>
      </x:c>
      <x:c r="R61" s="99">
        <x:f t="shared" si="9"/>
        <x:v>0</x:v>
      </x:c>
      <x:c r="S61" s="104">
        <x:f t="shared" si="9"/>
        <x:v>0</x:v>
      </x:c>
      <x:c r="T61" s="117"/>
      <x:c r="U61" s="59"/>
    </x:row>
    <x:row r="62" s="48" customFormat="1" ht="15" hidden="1" customHeight="1">
      <x:c r="A62" s="136"/>
      <x:c r="B62" s="133"/>
      <x:c r="C62" s="54"/>
      <x:c r="D62" s="44"/>
      <x:c r="E62" s="44"/>
      <x:c r="F62" s="97"/>
      <x:c r="G62" s="266" t="s">
        <x:v>140</x:v>
      </x:c>
      <x:c r="H62" s="38"/>
      <x:c r="I62" s="41"/>
      <x:c r="J62" s="99"/>
      <x:c r="K62" s="99"/>
      <x:c r="L62" s="99" t="n">
        <x:f>L60-L61</x:f>
        <x:v>0</x:v>
      </x:c>
      <x:c r="M62" s="99" t="n">
        <x:f t="shared" ref="M62:S62" si="10">L62-M61</x:f>
        <x:v>0</x:v>
      </x:c>
      <x:c r="N62" s="99">
        <x:f t="shared" si="10"/>
        <x:v>350000</x:v>
      </x:c>
      <x:c r="O62" s="99">
        <x:f t="shared" si="10"/>
        <x:v>210000</x:v>
      </x:c>
      <x:c r="P62" s="99">
        <x:f t="shared" si="10"/>
        <x:v>70000</x:v>
      </x:c>
      <x:c r="Q62" s="99">
        <x:f t="shared" si="10"/>
        <x:v>0</x:v>
      </x:c>
      <x:c r="R62" s="99">
        <x:f t="shared" si="10"/>
        <x:v>0</x:v>
      </x:c>
      <x:c r="S62" s="104">
        <x:f t="shared" si="10"/>
        <x:v>0</x:v>
      </x:c>
      <x:c r="T62" s="117"/>
      <x:c r="U62" s="59"/>
    </x:row>
    <x:row r="63" s="48" customFormat="1" ht="15" hidden="1" customHeight="1">
      <x:c r="A63" s="136"/>
      <x:c r="B63" s="133"/>
      <x:c r="C63" s="54"/>
      <x:c r="D63" s="44"/>
      <x:c r="E63" s="44"/>
      <x:c r="F63" s="97"/>
      <x:c r="G63" s="266" t="str">
        <x:f>"Investment from "&amp;M53</x:f>
        <x:v>Investment from 2029</x:v>
      </x:c>
      <x:c r="H63" s="38"/>
      <x:c r="I63" s="41"/>
      <x:c r="J63" s="99"/>
      <x:c r="K63" s="99"/>
      <x:c r="L63" s="99"/>
      <x:c r="M63" s="99" t="n">
        <x:f>IF(M$53=$Q$11,SUM($J$19:$S$20),0)+M$22+M$24</x:f>
        <x:v>0</x:v>
      </x:c>
      <x:c r="N63" s="99"/>
      <x:c r="O63" s="99"/>
      <x:c r="P63" s="99"/>
      <x:c r="Q63" s="99"/>
      <x:c r="R63" s="99"/>
      <x:c r="S63" s="104"/>
      <x:c r="T63" s="117"/>
      <x:c r="U63" s="59"/>
    </x:row>
    <x:row r="64" s="48" customFormat="1" ht="15" customHeight="1">
      <x:c r="A64" s="136"/>
      <x:c r="B64" s="133"/>
      <x:c r="C64" s="54"/>
      <x:c r="D64" s="44"/>
      <x:c r="E64" s="44"/>
      <x:c r="F64" s="97"/>
      <x:c r="G64" s="371" t="str">
        <x:f>"Depreciation from "&amp;$L$53</x:f>
        <x:v>Depreciation from 2028</x:v>
      </x:c>
      <x:c r="H64" s="371"/>
      <x:c r="I64" s="371"/>
      <x:c r="J64" s="99"/>
      <x:c r="K64" s="99"/>
      <x:c r="L64" s="99"/>
      <x:c r="M64" s="99" t="n">
        <x:f>M63/$J$28/2</x:f>
        <x:v>0</x:v>
      </x:c>
      <x:c r="N64" s="99" t="n">
        <x:f t="shared" ref="N64:S64" si="11">IF($M$63/$J$28&lt;M65,$M$63/$J$28,M65)</x:f>
        <x:v>0</x:v>
      </x:c>
      <x:c r="O64" s="99">
        <x:f t="shared" si="11"/>
        <x:v>0</x:v>
      </x:c>
      <x:c r="P64" s="99">
        <x:f t="shared" si="11"/>
        <x:v>0</x:v>
      </x:c>
      <x:c r="Q64" s="99">
        <x:f t="shared" si="11"/>
        <x:v>0</x:v>
      </x:c>
      <x:c r="R64" s="99">
        <x:f t="shared" si="11"/>
        <x:v>0</x:v>
      </x:c>
      <x:c r="S64" s="104">
        <x:f t="shared" si="11"/>
        <x:v>0</x:v>
      </x:c>
      <x:c r="T64" s="117"/>
      <x:c r="U64" s="59"/>
    </x:row>
    <x:row r="65" s="48" customFormat="1" ht="15" hidden="1" customHeight="1">
      <x:c r="A65" s="136"/>
      <x:c r="B65" s="133"/>
      <x:c r="C65" s="54"/>
      <x:c r="D65" s="44"/>
      <x:c r="E65" s="44"/>
      <x:c r="F65" s="97"/>
      <x:c r="G65" s="266" t="s">
        <x:v>140</x:v>
      </x:c>
      <x:c r="H65" s="38"/>
      <x:c r="I65" s="41"/>
      <x:c r="J65" s="99"/>
      <x:c r="K65" s="99"/>
      <x:c r="L65" s="99"/>
      <x:c r="M65" s="99" t="n">
        <x:f>M63-M64</x:f>
        <x:v>0</x:v>
      </x:c>
      <x:c r="N65" s="99" t="n">
        <x:f t="shared" ref="N65:S65" si="12">M65-N64</x:f>
        <x:v>0</x:v>
      </x:c>
      <x:c r="O65" s="99">
        <x:f t="shared" si="12"/>
        <x:v>0</x:v>
      </x:c>
      <x:c r="P65" s="99">
        <x:f t="shared" si="12"/>
        <x:v>0</x:v>
      </x:c>
      <x:c r="Q65" s="99">
        <x:f t="shared" si="12"/>
        <x:v>0</x:v>
      </x:c>
      <x:c r="R65" s="99">
        <x:f t="shared" si="12"/>
        <x:v>0</x:v>
      </x:c>
      <x:c r="S65" s="104">
        <x:f t="shared" si="12"/>
        <x:v>0</x:v>
      </x:c>
      <x:c r="T65" s="117"/>
      <x:c r="U65" s="59"/>
    </x:row>
    <x:row r="66" s="48" customFormat="1" ht="15" hidden="1" customHeight="1">
      <x:c r="A66" s="136"/>
      <x:c r="B66" s="133"/>
      <x:c r="C66" s="54"/>
      <x:c r="D66" s="44"/>
      <x:c r="E66" s="44"/>
      <x:c r="F66" s="97"/>
      <x:c r="G66" s="266" t="str">
        <x:f>"Investment from "&amp;N53</x:f>
        <x:v>Investment from 2030</x:v>
      </x:c>
      <x:c r="H66" s="38"/>
      <x:c r="I66" s="41"/>
      <x:c r="J66" s="99"/>
      <x:c r="K66" s="99"/>
      <x:c r="L66" s="99"/>
      <x:c r="M66" s="99"/>
      <x:c r="N66" s="99" t="n">
        <x:f>IF(N$53=$Q$11,SUM($J$19:$S$20),0)+N$22+N$24</x:f>
        <x:v>0</x:v>
      </x:c>
      <x:c r="O66" s="99"/>
      <x:c r="P66" s="99"/>
      <x:c r="Q66" s="99"/>
      <x:c r="R66" s="99"/>
      <x:c r="S66" s="104"/>
      <x:c r="T66" s="117"/>
      <x:c r="U66" s="59"/>
    </x:row>
    <x:row r="67" s="48" customFormat="1" ht="15" customHeight="1">
      <x:c r="A67" s="136"/>
      <x:c r="B67" s="133"/>
      <x:c r="C67" s="54"/>
      <x:c r="D67" s="44"/>
      <x:c r="E67" s="44"/>
      <x:c r="F67" s="97"/>
      <x:c r="G67" s="371" t="str">
        <x:f>"Depreciation from "&amp;$M$53</x:f>
        <x:v>Depreciation from 2029</x:v>
      </x:c>
      <x:c r="H67" s="371"/>
      <x:c r="I67" s="371"/>
      <x:c r="J67" s="99"/>
      <x:c r="K67" s="99"/>
      <x:c r="L67" s="99"/>
      <x:c r="M67" s="99"/>
      <x:c r="N67" s="99" t="n">
        <x:f>N66/$J$28/2</x:f>
        <x:v>0</x:v>
      </x:c>
      <x:c r="O67" s="99" t="n">
        <x:f>IF($N$66/$J$28&lt;N68,$N$66/$J$28,N68)</x:f>
        <x:v>0</x:v>
      </x:c>
      <x:c r="P67" s="99" t="n">
        <x:f>IF($N$66/$J$28&lt;O68,$N$66/$J$28,O68)</x:f>
        <x:v>0</x:v>
      </x:c>
      <x:c r="Q67" s="99" t="n">
        <x:f>IF($N$66/$J$28&lt;P68,$N$66/$J$28,P68)</x:f>
        <x:v>0</x:v>
      </x:c>
      <x:c r="R67" s="99" t="n">
        <x:f>IF($N$66/$J$28&lt;Q68,$N$66/$J$28,Q68)</x:f>
        <x:v>0</x:v>
      </x:c>
      <x:c r="S67" s="104" t="n">
        <x:f>IF($N$66/$J$28&lt;R68,$N$66/$J$28,R68)</x:f>
        <x:v>0</x:v>
      </x:c>
      <x:c r="T67" s="117"/>
      <x:c r="U67" s="59"/>
    </x:row>
    <x:row r="68" s="48" customFormat="1" ht="15" hidden="1" customHeight="1">
      <x:c r="A68" s="136"/>
      <x:c r="B68" s="133"/>
      <x:c r="C68" s="54"/>
      <x:c r="D68" s="44"/>
      <x:c r="E68" s="44"/>
      <x:c r="F68" s="97"/>
      <x:c r="G68" s="266" t="s">
        <x:v>140</x:v>
      </x:c>
      <x:c r="H68" s="38"/>
      <x:c r="I68" s="41"/>
      <x:c r="J68" s="99"/>
      <x:c r="K68" s="99"/>
      <x:c r="L68" s="99"/>
      <x:c r="M68" s="99"/>
      <x:c r="N68" s="99" t="n">
        <x:f>N66-N67</x:f>
        <x:v>0</x:v>
      </x:c>
      <x:c r="O68" s="99" t="n">
        <x:f>N68-O67</x:f>
        <x:v>0</x:v>
      </x:c>
      <x:c r="P68" s="99" t="n">
        <x:f>O68-P67</x:f>
        <x:v>0</x:v>
      </x:c>
      <x:c r="Q68" s="99" t="n">
        <x:f>P68-Q67</x:f>
        <x:v>0</x:v>
      </x:c>
      <x:c r="R68" s="99" t="n">
        <x:f>Q68-R67</x:f>
        <x:v>0</x:v>
      </x:c>
      <x:c r="S68" s="104" t="n">
        <x:f>R68-S67</x:f>
        <x:v>0</x:v>
      </x:c>
      <x:c r="T68" s="117"/>
      <x:c r="U68" s="59"/>
    </x:row>
    <x:row r="69" s="48" customFormat="1" ht="15" hidden="1" customHeight="1">
      <x:c r="A69" s="136"/>
      <x:c r="B69" s="133"/>
      <x:c r="C69" s="54"/>
      <x:c r="D69" s="44"/>
      <x:c r="E69" s="44"/>
      <x:c r="F69" s="97"/>
      <x:c r="G69" s="266" t="str">
        <x:f>"Investment from "&amp;O53</x:f>
        <x:v>Investment from 2031</x:v>
      </x:c>
      <x:c r="H69" s="38"/>
      <x:c r="I69" s="41"/>
      <x:c r="J69" s="99"/>
      <x:c r="K69" s="99"/>
      <x:c r="L69" s="99"/>
      <x:c r="M69" s="99"/>
      <x:c r="N69" s="99"/>
      <x:c r="O69" s="99" t="n">
        <x:f>IF(O$53=$Q$11,SUM($J$19:$S$20),0)+O$22+O$24</x:f>
        <x:v>0</x:v>
      </x:c>
      <x:c r="P69" s="99"/>
      <x:c r="Q69" s="99"/>
      <x:c r="R69" s="99"/>
      <x:c r="S69" s="104"/>
      <x:c r="T69" s="117"/>
      <x:c r="U69" s="59"/>
    </x:row>
    <x:row r="70" s="48" customFormat="1" ht="15" customHeight="1">
      <x:c r="A70" s="136"/>
      <x:c r="B70" s="133"/>
      <x:c r="C70" s="54"/>
      <x:c r="D70" s="44"/>
      <x:c r="E70" s="44"/>
      <x:c r="F70" s="97"/>
      <x:c r="G70" s="371" t="str">
        <x:f>"Depreciation from "&amp;$N$53</x:f>
        <x:v>Depreciation from 2030</x:v>
      </x:c>
      <x:c r="H70" s="371"/>
      <x:c r="I70" s="371"/>
      <x:c r="J70" s="99"/>
      <x:c r="K70" s="99"/>
      <x:c r="L70" s="99"/>
      <x:c r="M70" s="99"/>
      <x:c r="N70" s="99"/>
      <x:c r="O70" s="99" t="n">
        <x:f>O69/$J$28/2</x:f>
        <x:v>0</x:v>
      </x:c>
      <x:c r="P70" s="99" t="n">
        <x:f>IF($O$69/$J$28&lt;O71,$O$69/$J$28,O71)</x:f>
        <x:v>0</x:v>
      </x:c>
      <x:c r="Q70" s="99" t="n">
        <x:f>IF($O$69/$J$28&lt;P71,$O$69/$J$28,P71)</x:f>
        <x:v>0</x:v>
      </x:c>
      <x:c r="R70" s="99" t="n">
        <x:f>IF($O$69/$J$28&lt;Q71,$O$69/$J$28,Q71)</x:f>
        <x:v>0</x:v>
      </x:c>
      <x:c r="S70" s="104" t="n">
        <x:f>IF($O$69/$J$28&lt;R71,$O$69/$J$28,R71)</x:f>
        <x:v>0</x:v>
      </x:c>
      <x:c r="T70" s="117"/>
      <x:c r="U70" s="59"/>
    </x:row>
    <x:row r="71" s="48" customFormat="1" ht="15" hidden="1" customHeight="1">
      <x:c r="A71" s="136"/>
      <x:c r="B71" s="133"/>
      <x:c r="C71" s="54"/>
      <x:c r="D71" s="44"/>
      <x:c r="E71" s="44"/>
      <x:c r="F71" s="97"/>
      <x:c r="G71" s="266" t="s">
        <x:v>140</x:v>
      </x:c>
      <x:c r="H71" s="38"/>
      <x:c r="I71" s="41"/>
      <x:c r="J71" s="99"/>
      <x:c r="K71" s="99"/>
      <x:c r="L71" s="99"/>
      <x:c r="M71" s="99"/>
      <x:c r="N71" s="99"/>
      <x:c r="O71" s="99" t="n">
        <x:f>O69-O70</x:f>
        <x:v>0</x:v>
      </x:c>
      <x:c r="P71" s="99" t="n">
        <x:f>O71-P70</x:f>
        <x:v>0</x:v>
      </x:c>
      <x:c r="Q71" s="99" t="n">
        <x:f>P71-Q70</x:f>
        <x:v>0</x:v>
      </x:c>
      <x:c r="R71" s="99" t="n">
        <x:f>Q71-R70</x:f>
        <x:v>0</x:v>
      </x:c>
      <x:c r="S71" s="104" t="n">
        <x:f>R71-S70</x:f>
        <x:v>0</x:v>
      </x:c>
      <x:c r="T71" s="117"/>
      <x:c r="U71" s="59"/>
    </x:row>
    <x:row r="72" s="48" customFormat="1" ht="15" hidden="1" customHeight="1">
      <x:c r="A72" s="136"/>
      <x:c r="B72" s="133"/>
      <x:c r="C72" s="54"/>
      <x:c r="D72" s="44"/>
      <x:c r="E72" s="44"/>
      <x:c r="F72" s="97"/>
      <x:c r="G72" s="266" t="str">
        <x:f>"Investment from "&amp;P53</x:f>
        <x:v>Investment from 2032</x:v>
      </x:c>
      <x:c r="H72" s="38"/>
      <x:c r="I72" s="41"/>
      <x:c r="J72" s="99"/>
      <x:c r="K72" s="99"/>
      <x:c r="L72" s="99"/>
      <x:c r="M72" s="99"/>
      <x:c r="N72" s="99"/>
      <x:c r="O72" s="99"/>
      <x:c r="P72" s="99" t="n">
        <x:f>IF(P$53=$Q$11,SUM($J$19:$S$20),0)+P$22+P$24</x:f>
        <x:v>0</x:v>
      </x:c>
      <x:c r="Q72" s="99"/>
      <x:c r="R72" s="99"/>
      <x:c r="S72" s="104"/>
      <x:c r="T72" s="117"/>
      <x:c r="U72" s="59"/>
    </x:row>
    <x:row r="73" s="48" customFormat="1" ht="15" customHeight="1">
      <x:c r="A73" s="136"/>
      <x:c r="B73" s="133"/>
      <x:c r="C73" s="54"/>
      <x:c r="D73" s="44"/>
      <x:c r="E73" s="44"/>
      <x:c r="F73" s="97"/>
      <x:c r="G73" s="371" t="str">
        <x:f>"Depreciation from "&amp;$O$53</x:f>
        <x:v>Depreciation from 2031</x:v>
      </x:c>
      <x:c r="H73" s="371"/>
      <x:c r="I73" s="371"/>
      <x:c r="J73" s="99"/>
      <x:c r="K73" s="99"/>
      <x:c r="L73" s="99"/>
      <x:c r="M73" s="99"/>
      <x:c r="N73" s="99"/>
      <x:c r="O73" s="99"/>
      <x:c r="P73" s="99" t="n">
        <x:f>P72/$J$28/2</x:f>
        <x:v>0</x:v>
      </x:c>
      <x:c r="Q73" s="99" t="n">
        <x:f>IF($P$72/$J$28&lt;P74,$P$72/$J$28,P74)</x:f>
        <x:v>0</x:v>
      </x:c>
      <x:c r="R73" s="99" t="n">
        <x:f>IF($P$72/$J$28&lt;Q74,$P$72/$J$28,Q74)</x:f>
        <x:v>0</x:v>
      </x:c>
      <x:c r="S73" s="104" t="n">
        <x:f>IF($P$72/$J$28&lt;R74,$P$72/$J$28,R74)</x:f>
        <x:v>0</x:v>
      </x:c>
      <x:c r="T73" s="117"/>
      <x:c r="U73" s="59"/>
    </x:row>
    <x:row r="74" s="48" customFormat="1" ht="15" hidden="1" customHeight="1">
      <x:c r="A74" s="136"/>
      <x:c r="B74" s="133"/>
      <x:c r="C74" s="54"/>
      <x:c r="D74" s="44"/>
      <x:c r="E74" s="44"/>
      <x:c r="F74" s="97"/>
      <x:c r="G74" s="266" t="s">
        <x:v>140</x:v>
      </x:c>
      <x:c r="H74" s="38"/>
      <x:c r="I74" s="41"/>
      <x:c r="J74" s="99"/>
      <x:c r="K74" s="99"/>
      <x:c r="L74" s="99"/>
      <x:c r="M74" s="99"/>
      <x:c r="N74" s="99"/>
      <x:c r="O74" s="99"/>
      <x:c r="P74" s="99" t="n">
        <x:f>P72-P73</x:f>
        <x:v>0</x:v>
      </x:c>
      <x:c r="Q74" s="99" t="n">
        <x:f>P74-Q73</x:f>
        <x:v>0</x:v>
      </x:c>
      <x:c r="R74" s="99" t="n">
        <x:f>Q74-R73</x:f>
        <x:v>0</x:v>
      </x:c>
      <x:c r="S74" s="104" t="n">
        <x:f>R74-S73</x:f>
        <x:v>0</x:v>
      </x:c>
      <x:c r="T74" s="117"/>
      <x:c r="U74" s="59"/>
    </x:row>
    <x:row r="75" s="48" customFormat="1" ht="15" hidden="1" customHeight="1">
      <x:c r="A75" s="136"/>
      <x:c r="B75" s="133"/>
      <x:c r="C75" s="54"/>
      <x:c r="D75" s="44"/>
      <x:c r="E75" s="44"/>
      <x:c r="F75" s="97"/>
      <x:c r="G75" s="266" t="str">
        <x:f>"Investment from "&amp;Q53</x:f>
        <x:v>Investment from 2033</x:v>
      </x:c>
      <x:c r="H75" s="38"/>
      <x:c r="I75" s="41"/>
      <x:c r="J75" s="99"/>
      <x:c r="K75" s="99"/>
      <x:c r="L75" s="99"/>
      <x:c r="M75" s="99"/>
      <x:c r="N75" s="99"/>
      <x:c r="O75" s="99"/>
      <x:c r="P75" s="99"/>
      <x:c r="Q75" s="99" t="n">
        <x:f>IF(Q$53=$Q$11,SUM($J$19:$S$20),0)+Q$22+Q$24</x:f>
        <x:v>0</x:v>
      </x:c>
      <x:c r="R75" s="99"/>
      <x:c r="S75" s="104"/>
      <x:c r="T75" s="117"/>
      <x:c r="U75" s="59"/>
      <x:c r="W75" s="33"/>
      <x:c r="X75" s="33"/>
      <x:c r="Y75" s="33"/>
      <x:c r="Z75" s="33"/>
      <x:c r="AA75" s="33"/>
      <x:c r="AB75" s="33"/>
      <x:c r="AC75" s="33"/>
      <x:c r="AD75" s="33"/>
    </x:row>
    <x:row r="76" s="48" customFormat="1" ht="15" customHeight="1">
      <x:c r="A76" s="136"/>
      <x:c r="B76" s="133"/>
      <x:c r="C76" s="54"/>
      <x:c r="D76" s="44"/>
      <x:c r="E76" s="44"/>
      <x:c r="F76" s="97"/>
      <x:c r="G76" s="371" t="str">
        <x:f>"Depreciation from "&amp;$P$53</x:f>
        <x:v>Depreciation from 2032</x:v>
      </x:c>
      <x:c r="H76" s="371"/>
      <x:c r="I76" s="371"/>
      <x:c r="J76" s="99"/>
      <x:c r="K76" s="99"/>
      <x:c r="L76" s="99"/>
      <x:c r="M76" s="99"/>
      <x:c r="N76" s="99"/>
      <x:c r="O76" s="99"/>
      <x:c r="P76" s="99"/>
      <x:c r="Q76" s="99" t="n">
        <x:f>Q75/$J$28/2</x:f>
        <x:v>0</x:v>
      </x:c>
      <x:c r="R76" s="99" t="n">
        <x:f>IF($Q$75/$J$28&lt;Q77,$Q$75/$J$28,Q77)</x:f>
        <x:v>0</x:v>
      </x:c>
      <x:c r="S76" s="104" t="n">
        <x:f>IF($Q$75/$J$28&lt;R77,$Q$75/$J$28,R77)</x:f>
        <x:v>0</x:v>
      </x:c>
      <x:c r="T76" s="117"/>
      <x:c r="U76" s="59"/>
      <x:c r="W76" s="52"/>
      <x:c r="X76" s="52"/>
      <x:c r="Y76" s="52"/>
      <x:c r="Z76" s="52"/>
      <x:c r="AA76" s="52"/>
      <x:c r="AB76" s="52"/>
      <x:c r="AC76" s="52"/>
      <x:c r="AD76" s="52"/>
    </x:row>
    <x:row r="77" s="48" customFormat="1" ht="15" hidden="1" customHeight="1">
      <x:c r="A77" s="136"/>
      <x:c r="B77" s="133"/>
      <x:c r="C77" s="54"/>
      <x:c r="D77" s="44"/>
      <x:c r="E77" s="44"/>
      <x:c r="F77" s="97"/>
      <x:c r="G77" s="266" t="s">
        <x:v>140</x:v>
      </x:c>
      <x:c r="H77" s="38"/>
      <x:c r="I77" s="41"/>
      <x:c r="J77" s="99"/>
      <x:c r="K77" s="99"/>
      <x:c r="L77" s="99"/>
      <x:c r="M77" s="99"/>
      <x:c r="N77" s="99"/>
      <x:c r="O77" s="99"/>
      <x:c r="P77" s="99"/>
      <x:c r="Q77" s="99" t="n">
        <x:f>Q75-Q76</x:f>
        <x:v>0</x:v>
      </x:c>
      <x:c r="R77" s="99" t="n">
        <x:f>Q77-R76</x:f>
        <x:v>0</x:v>
      </x:c>
      <x:c r="S77" s="104" t="n">
        <x:f>R77-S76</x:f>
        <x:v>0</x:v>
      </x:c>
      <x:c r="T77" s="117"/>
      <x:c r="U77" s="59"/>
      <x:c r="W77" s="52"/>
      <x:c r="X77" s="52"/>
      <x:c r="Y77" s="52"/>
      <x:c r="Z77" s="52"/>
      <x:c r="AA77" s="52"/>
      <x:c r="AB77" s="52"/>
      <x:c r="AC77" s="52"/>
      <x:c r="AD77" s="52"/>
    </x:row>
    <x:row r="78" s="48" customFormat="1" ht="15" hidden="1" customHeight="1">
      <x:c r="A78" s="136"/>
      <x:c r="B78" s="133"/>
      <x:c r="C78" s="54"/>
      <x:c r="D78" s="44"/>
      <x:c r="E78" s="44"/>
      <x:c r="F78" s="97"/>
      <x:c r="G78" s="266" t="str">
        <x:f>"Investment from "&amp;R53</x:f>
        <x:v>Investment from 2034</x:v>
      </x:c>
      <x:c r="H78" s="38"/>
      <x:c r="I78" s="41"/>
      <x:c r="J78" s="99"/>
      <x:c r="K78" s="99"/>
      <x:c r="L78" s="99"/>
      <x:c r="M78" s="99"/>
      <x:c r="N78" s="99"/>
      <x:c r="O78" s="99"/>
      <x:c r="P78" s="99"/>
      <x:c r="Q78" s="99"/>
      <x:c r="R78" s="99" t="n">
        <x:f>IF(R$53=$Q$11,SUM($J$19:$S$20),0)+R$22+R$24</x:f>
        <x:v>0</x:v>
      </x:c>
      <x:c r="S78" s="104"/>
      <x:c r="T78" s="117"/>
      <x:c r="U78" s="59"/>
      <x:c r="W78" s="52"/>
      <x:c r="X78" s="52"/>
      <x:c r="Y78" s="52"/>
      <x:c r="Z78" s="52"/>
      <x:c r="AA78" s="52"/>
      <x:c r="AB78" s="52"/>
      <x:c r="AC78" s="52"/>
      <x:c r="AD78" s="52"/>
    </x:row>
    <x:row r="79" s="48" customFormat="1" ht="15" customHeight="1">
      <x:c r="A79" s="136"/>
      <x:c r="B79" s="133"/>
      <x:c r="C79" s="54"/>
      <x:c r="D79" s="44"/>
      <x:c r="E79" s="44"/>
      <x:c r="F79" s="97"/>
      <x:c r="G79" s="371" t="str">
        <x:f>"Depreciation from "&amp;$Q$53</x:f>
        <x:v>Depreciation from 2033</x:v>
      </x:c>
      <x:c r="H79" s="371"/>
      <x:c r="I79" s="371"/>
      <x:c r="J79" s="99"/>
      <x:c r="K79" s="99"/>
      <x:c r="L79" s="99"/>
      <x:c r="M79" s="99"/>
      <x:c r="N79" s="99"/>
      <x:c r="O79" s="99"/>
      <x:c r="P79" s="99"/>
      <x:c r="Q79" s="99"/>
      <x:c r="R79" s="99" t="n">
        <x:f>R78/$J$28/2</x:f>
        <x:v>0</x:v>
      </x:c>
      <x:c r="S79" s="104" t="n">
        <x:f>IF($R$78/$J$28&lt;R80,$R$78/$J$28,R80)</x:f>
        <x:v>0</x:v>
      </x:c>
      <x:c r="T79" s="117"/>
      <x:c r="U79" s="59"/>
      <x:c r="W79" s="52"/>
      <x:c r="X79" s="52"/>
      <x:c r="Y79" s="52"/>
      <x:c r="Z79" s="52"/>
      <x:c r="AA79" s="52"/>
      <x:c r="AB79" s="52"/>
      <x:c r="AC79" s="52"/>
      <x:c r="AD79" s="52"/>
    </x:row>
    <x:row r="80" s="48" customFormat="1" ht="15" hidden="1" customHeight="1">
      <x:c r="A80" s="136"/>
      <x:c r="B80" s="133"/>
      <x:c r="C80" s="54"/>
      <x:c r="D80" s="44"/>
      <x:c r="E80" s="44"/>
      <x:c r="F80" s="97"/>
      <x:c r="G80" s="266" t="s">
        <x:v>140</x:v>
      </x:c>
      <x:c r="H80" s="38"/>
      <x:c r="I80" s="41"/>
      <x:c r="J80" s="99"/>
      <x:c r="K80" s="99"/>
      <x:c r="L80" s="99"/>
      <x:c r="M80" s="99"/>
      <x:c r="N80" s="99"/>
      <x:c r="O80" s="99"/>
      <x:c r="P80" s="99"/>
      <x:c r="Q80" s="99"/>
      <x:c r="R80" s="99" t="n">
        <x:f>R78-R79</x:f>
        <x:v>0</x:v>
      </x:c>
      <x:c r="S80" s="104" t="n">
        <x:f>R80-S79</x:f>
        <x:v>0</x:v>
      </x:c>
      <x:c r="T80" s="117"/>
      <x:c r="U80" s="59"/>
      <x:c r="W80" s="33"/>
      <x:c r="X80" s="33"/>
      <x:c r="Y80" s="33"/>
      <x:c r="Z80" s="33"/>
      <x:c r="AA80" s="33"/>
      <x:c r="AB80" s="33"/>
      <x:c r="AC80" s="33"/>
      <x:c r="AD80" s="33"/>
    </x:row>
    <x:row r="81" s="48" customFormat="1" ht="15" hidden="1" customHeight="1">
      <x:c r="A81" s="136"/>
      <x:c r="B81" s="133"/>
      <x:c r="C81" s="54"/>
      <x:c r="D81" s="44"/>
      <x:c r="E81" s="44"/>
      <x:c r="F81" s="97"/>
      <x:c r="G81" s="266" t="str">
        <x:f>"Investment from "&amp;S53</x:f>
        <x:v>Investment from 2035</x:v>
      </x:c>
      <x:c r="H81" s="38"/>
      <x:c r="I81" s="41"/>
      <x:c r="J81" s="99"/>
      <x:c r="K81" s="99"/>
      <x:c r="L81" s="99"/>
      <x:c r="M81" s="99"/>
      <x:c r="N81" s="99"/>
      <x:c r="O81" s="99"/>
      <x:c r="P81" s="99"/>
      <x:c r="Q81" s="99"/>
      <x:c r="R81" s="99"/>
      <x:c r="S81" s="99" t="n">
        <x:f>IF(S$53=$Q$11,SUM($J$19:$S$20),0)+S$22+S$24</x:f>
        <x:v>0</x:v>
      </x:c>
      <x:c r="T81" s="117"/>
      <x:c r="U81" s="59"/>
      <x:c r="W81" s="33"/>
      <x:c r="X81" s="33"/>
      <x:c r="Y81" s="33"/>
      <x:c r="Z81" s="33"/>
      <x:c r="AA81" s="33"/>
      <x:c r="AB81" s="33"/>
      <x:c r="AC81" s="33"/>
      <x:c r="AD81" s="33"/>
    </x:row>
    <x:row r="82" s="48" customFormat="1" ht="15" customHeight="1">
      <x:c r="A82" s="136"/>
      <x:c r="B82" s="133"/>
      <x:c r="C82" s="54"/>
      <x:c r="D82" s="44"/>
      <x:c r="E82" s="44"/>
      <x:c r="F82" s="97"/>
      <x:c r="G82" s="371" t="str">
        <x:f>"Depreciation from "&amp;$R$53</x:f>
        <x:v>Depreciation from 2034</x:v>
      </x:c>
      <x:c r="H82" s="371"/>
      <x:c r="I82" s="371"/>
      <x:c r="J82" s="99"/>
      <x:c r="K82" s="99"/>
      <x:c r="L82" s="99"/>
      <x:c r="M82" s="99"/>
      <x:c r="N82" s="99"/>
      <x:c r="O82" s="99"/>
      <x:c r="P82" s="99"/>
      <x:c r="Q82" s="99"/>
      <x:c r="R82" s="99"/>
      <x:c r="S82" s="104" t="n">
        <x:f>S81/$J$28/2</x:f>
        <x:v>0</x:v>
      </x:c>
      <x:c r="T82" s="117"/>
      <x:c r="U82" s="59"/>
      <x:c r="W82" s="33"/>
      <x:c r="X82" s="33"/>
      <x:c r="Y82" s="33"/>
      <x:c r="Z82" s="33"/>
      <x:c r="AA82" s="33"/>
      <x:c r="AB82" s="33"/>
      <x:c r="AC82" s="33"/>
      <x:c r="AD82" s="33"/>
    </x:row>
    <x:row r="83" s="48" customFormat="1" ht="15" hidden="1" customHeight="1">
      <x:c r="A83" s="136"/>
      <x:c r="B83" s="133"/>
      <x:c r="C83" s="54"/>
      <x:c r="D83" s="44"/>
      <x:c r="E83" s="44"/>
      <x:c r="F83" s="97"/>
      <x:c r="G83" s="266" t="s">
        <x:v>140</x:v>
      </x:c>
      <x:c r="H83" s="35"/>
      <x:c r="I83" s="44"/>
      <x:c r="J83" s="99"/>
      <x:c r="K83" s="99"/>
      <x:c r="L83" s="99"/>
      <x:c r="M83" s="99"/>
      <x:c r="N83" s="99"/>
      <x:c r="O83" s="99"/>
      <x:c r="P83" s="99"/>
      <x:c r="Q83" s="99"/>
      <x:c r="R83" s="99"/>
      <x:c r="S83" s="99" t="n">
        <x:f>S81-S82</x:f>
        <x:v>0</x:v>
      </x:c>
      <x:c r="T83" s="117"/>
      <x:c r="U83" s="59"/>
      <x:c r="W83" s="33"/>
      <x:c r="X83" s="33"/>
      <x:c r="Y83" s="33"/>
      <x:c r="Z83" s="33"/>
      <x:c r="AA83" s="33"/>
      <x:c r="AB83" s="33"/>
      <x:c r="AC83" s="33"/>
      <x:c r="AD83" s="33"/>
    </x:row>
    <x:row r="84" s="48" customFormat="1" ht="15" customHeight="1">
      <x:c r="A84" s="136"/>
      <x:c r="B84" s="133"/>
      <x:c r="C84" s="54"/>
      <x:c r="D84" s="44"/>
      <x:c r="E84" s="44"/>
      <x:c r="F84" s="178"/>
      <x:c r="G84" s="365" t="s">
        <x:v>125</x:v>
      </x:c>
      <x:c r="H84" s="365"/>
      <x:c r="I84" s="365"/>
      <x:c r="J84" s="714" t="n">
        <x:f t="shared" ref="J84:S84" si="13">J55+J58+J61+J64+J67+J70+J73+J76+J79+J82</x:f>
        <x:v>15000</x:v>
      </x:c>
      <x:c r="K84" s="716" t="n">
        <x:f t="shared" si="13">K55+K58+K61+K64+K67+K70+K73+K76+K79+K82</x:f>
        <x:v>95000</x:v>
      </x:c>
      <x:c r="L84" s="714" t="n">
        <x:f t="shared" si="13">L55+L58+L61+L64+L67+L70+L73+L76+L79+L82</x:f>
        <x:v>139135.6</x:v>
      </x:c>
      <x:c r="M84" s="714" t="n">
        <x:f t="shared" si="13">M55+M58+M61+M64+M67+M70+M73+M76+M79+M82</x:f>
        <x:v>9135.6</x:v>
      </x:c>
      <x:c r="N84" s="714" t="n">
        <x:f t="shared" si="13">N55+N58+N61+N64+N67+N70+N73+N76+N79+N82</x:f>
        <x:v>149135.6</x:v>
      </x:c>
      <x:c r="O84" s="714" t="n">
        <x:f t="shared" si="13">O55+O58+O61+O64+O67+O70+O73+O76+O79+O82</x:f>
        <x:v>144567.8</x:v>
      </x:c>
      <x:c r="P84" s="714" t="n">
        <x:f t="shared" si="13">P55+P58+P61+P64+P67+P70+P73+P76+P79+P82</x:f>
        <x:v>140000</x:v>
      </x:c>
      <x:c r="Q84" s="714" t="n">
        <x:f t="shared" si="13">Q55+Q58+Q61+Q64+Q67+Q70+Q73+Q76+Q79+Q82</x:f>
        <x:v>70000</x:v>
      </x:c>
      <x:c r="R84" s="714" t="n">
        <x:f t="shared" si="13">R55+R58+R61+R64+R67+R70+R73+R76+R79+R82</x:f>
        <x:v>0</x:v>
      </x:c>
      <x:c r="S84" s="714" t="n">
        <x:f t="shared" si="13">S55+S58+S61+S64+S67+S70+S73+S76+S79+S82</x:f>
        <x:v>0</x:v>
      </x:c>
      <x:c r="T84" s="117"/>
      <x:c r="U84" s="59"/>
      <x:c r="W84" s="33"/>
      <x:c r="X84" s="33"/>
      <x:c r="Y84" s="33"/>
      <x:c r="Z84" s="33"/>
      <x:c r="AA84" s="33"/>
      <x:c r="AB84" s="33"/>
      <x:c r="AC84" s="33"/>
      <x:c r="AD84" s="33"/>
    </x:row>
    <x:row r="85" s="48" customFormat="1" ht="15" customHeight="1">
      <x:c r="A85" s="136"/>
      <x:c r="B85" s="133"/>
      <x:c r="C85" s="54"/>
      <x:c r="D85" s="44"/>
      <x:c r="E85" s="53"/>
      <x:c r="F85" s="53"/>
      <x:c r="G85" s="40"/>
      <x:c r="H85" s="40"/>
      <x:c r="I85" s="37"/>
      <x:c r="J85" s="717"/>
      <x:c r="K85" s="717"/>
      <x:c r="L85" s="717"/>
      <x:c r="M85" s="717"/>
      <x:c r="N85" s="717"/>
      <x:c r="O85" s="717"/>
      <x:c r="P85" s="717"/>
      <x:c r="Q85" s="717"/>
      <x:c r="R85" s="717"/>
      <x:c r="S85" s="717"/>
      <x:c r="T85" s="117"/>
      <x:c r="U85" s="59"/>
      <x:c r="W85" s="33"/>
      <x:c r="X85" s="33"/>
      <x:c r="Y85" s="33"/>
      <x:c r="Z85" s="33"/>
      <x:c r="AA85" s="33"/>
      <x:c r="AB85" s="33"/>
      <x:c r="AC85" s="33"/>
      <x:c r="AD85" s="33"/>
    </x:row>
    <x:row r="86" s="48" customFormat="1" ht="15" customHeight="1">
      <x:c r="A86" s="136"/>
      <x:c r="B86" s="133"/>
      <x:c r="C86" s="127" t="s">
        <x:v>115</x:v>
      </x:c>
      <x:c r="D86" s="128"/>
      <x:c r="E86" s="128"/>
      <x:c r="F86" s="128"/>
      <x:c r="G86" s="128"/>
      <x:c r="H86" s="128"/>
      <x:c r="I86" s="128" t="s">
        <x:v>141</x:v>
      </x:c>
      <x:c r="J86" s="718" t="n">
        <x:f t="shared" ref="J86:S86" si="14">J84+J50</x:f>
        <x:v>115000</x:v>
      </x:c>
      <x:c r="K86" s="718" t="n">
        <x:f t="shared" si="14">K84+K50</x:f>
        <x:v>170000</x:v>
      </x:c>
      <x:c r="L86" s="718" t="n">
        <x:f t="shared" si="14">L84+L50</x:f>
        <x:v>214135.6</x:v>
      </x:c>
      <x:c r="M86" s="718" t="n">
        <x:f t="shared" si="14">M84+M50</x:f>
        <x:v>84135.6</x:v>
      </x:c>
      <x:c r="N86" s="718" t="n">
        <x:f t="shared" si="14">N84+N50</x:f>
        <x:v>224135.6</x:v>
      </x:c>
      <x:c r="O86" s="718" t="n">
        <x:f t="shared" si="14">O84+O50</x:f>
        <x:v>219567.8</x:v>
      </x:c>
      <x:c r="P86" s="718" t="n">
        <x:f t="shared" si="14">P84+P50</x:f>
        <x:v>215000</x:v>
      </x:c>
      <x:c r="Q86" s="718" t="n">
        <x:f t="shared" si="14">Q84+Q50</x:f>
        <x:v>145000</x:v>
      </x:c>
      <x:c r="R86" s="718" t="n">
        <x:f t="shared" si="14">R84+R50</x:f>
        <x:v>75000</x:v>
      </x:c>
      <x:c r="S86" s="718" t="n">
        <x:f t="shared" si="14">S84+S50</x:f>
        <x:v>75000</x:v>
      </x:c>
      <x:c r="T86" s="122"/>
      <x:c r="U86" s="59"/>
      <x:c r="W86" s="33"/>
      <x:c r="X86" s="33"/>
      <x:c r="Y86" s="33"/>
      <x:c r="Z86" s="33"/>
      <x:c r="AA86" s="33"/>
      <x:c r="AB86" s="33"/>
      <x:c r="AC86" s="33"/>
      <x:c r="AD86" s="33"/>
    </x:row>
    <x:row r="87" ht="15" customHeight="1">
      <x:c r="A87" s="136"/>
      <x:c r="B87" s="34"/>
      <x:c r="C87" s="123"/>
      <x:c r="D87" s="113"/>
      <x:c r="E87" s="113"/>
      <x:c r="F87" s="113"/>
      <x:c r="G87" s="113"/>
      <x:c r="H87" s="113"/>
      <x:c r="I87" s="114"/>
      <x:c r="J87" s="113"/>
      <x:c r="K87" s="113"/>
      <x:c r="L87" s="113"/>
      <x:c r="M87" s="113"/>
      <x:c r="N87" s="113"/>
      <x:c r="O87" s="113"/>
      <x:c r="P87" s="113"/>
      <x:c r="Q87" s="113"/>
      <x:c r="R87" s="113"/>
      <x:c r="S87" s="113"/>
      <x:c r="T87" s="124"/>
      <x:c r="U87" s="59"/>
      <x:c r="W87" s="33"/>
    </x:row>
    <x:row r="88" ht="15" customHeight="1">
      <x:c r="A88" s="59"/>
      <x:c r="B88" s="153"/>
      <x:c r="C88" s="59"/>
      <x:c r="D88" s="154"/>
      <x:c r="E88" s="154"/>
      <x:c r="F88" s="154"/>
      <x:c r="G88" s="154"/>
      <x:c r="H88" s="154"/>
      <x:c r="I88" s="61"/>
      <x:c r="J88" s="154"/>
      <x:c r="K88" s="154"/>
      <x:c r="L88" s="154"/>
      <x:c r="M88" s="154"/>
      <x:c r="N88" s="154"/>
      <x:c r="O88" s="154"/>
      <x:c r="P88" s="154"/>
      <x:c r="Q88" s="154"/>
      <x:c r="R88" s="154"/>
      <x:c r="S88" s="154"/>
      <x:c r="T88" s="155"/>
      <x:c r="U88" s="59"/>
      <x:c r="W88" s="33"/>
    </x:row>
    <x:row r="89" s="52" customFormat="1" ht="21.75" customHeight="1">
      <x:c r="A89" s="59"/>
      <x:c r="B89" s="115"/>
      <x:c r="C89" s="134" t="s">
        <x:v>142</x:v>
      </x:c>
      <x:c r="D89" s="129"/>
      <x:c r="E89" s="130"/>
      <x:c r="F89" s="130"/>
      <x:c r="G89" s="134"/>
      <x:c r="H89" s="134"/>
      <x:c r="I89" s="146"/>
      <x:c r="J89" s="147"/>
      <x:c r="K89" s="147"/>
      <x:c r="L89" s="147"/>
      <x:c r="M89" s="147"/>
      <x:c r="N89" s="147"/>
      <x:c r="O89" s="147"/>
      <x:c r="P89" s="147"/>
      <x:c r="Q89" s="147"/>
      <x:c r="R89" s="147"/>
      <x:c r="S89" s="147"/>
      <x:c r="T89" s="149"/>
      <x:c r="U89" s="59"/>
      <x:c r="W89" s="33"/>
      <x:c r="X89" s="33"/>
      <x:c r="Y89" s="33"/>
      <x:c r="Z89" s="33"/>
      <x:c r="AA89" s="33"/>
      <x:c r="AB89" s="33"/>
      <x:c r="AC89" s="33"/>
      <x:c r="AD89" s="33"/>
    </x:row>
    <x:row r="90" s="52" customFormat="1" ht="15" customHeight="1">
      <x:c r="A90" s="59"/>
      <x:c r="B90" s="148"/>
      <x:c r="C90" s="135"/>
      <x:c r="D90" s="36"/>
      <x:c r="E90" s="36"/>
      <x:c r="F90" s="35"/>
      <x:c r="G90" s="35"/>
      <x:c r="H90" s="35"/>
      <x:c r="I90" s="37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117"/>
      <x:c r="U90" s="59"/>
      <x:c r="W90" s="33"/>
      <x:c r="X90" s="33"/>
      <x:c r="Y90" s="33"/>
      <x:c r="Z90" s="33"/>
      <x:c r="AA90" s="33"/>
      <x:c r="AB90" s="33"/>
      <x:c r="AC90" s="33"/>
      <x:c r="AD90" s="33"/>
    </x:row>
    <x:row r="91" ht="15" customHeight="1">
      <x:c r="A91" s="59"/>
      <x:c r="B91" s="148"/>
      <x:c r="C91" s="54"/>
      <x:c r="D91" s="35"/>
      <x:c r="E91" s="35"/>
      <x:c r="F91" s="35"/>
      <x:c r="G91" s="94" t="s">
        <x:v>3</x:v>
      </x:c>
      <x:c r="H91" s="95" t="s">
        <x:v>116</x:v>
      </x:c>
      <x:c r="I91" s="96" t="s">
        <x:v>44</x:v>
      </x:c>
      <x:c r="J91" s="96" t="n">
        <x:f t="shared" ref="J91:S91" si="15">J31</x:f>
        <x:v>2026</x:v>
      </x:c>
      <x:c r="K91" s="96" t="n">
        <x:f t="shared" si="15"/>
        <x:v>2027</x:v>
      </x:c>
      <x:c r="L91" s="96" t="n">
        <x:f t="shared" si="15"/>
        <x:v>2028</x:v>
      </x:c>
      <x:c r="M91" s="96" t="n">
        <x:f t="shared" si="15"/>
        <x:v>2029</x:v>
      </x:c>
      <x:c r="N91" s="96" t="n">
        <x:f t="shared" si="15"/>
        <x:v>2030</x:v>
      </x:c>
      <x:c r="O91" s="96" t="n">
        <x:f t="shared" si="15"/>
        <x:v>2031</x:v>
      </x:c>
      <x:c r="P91" s="96" t="n">
        <x:f t="shared" si="15"/>
        <x:v>2032</x:v>
      </x:c>
      <x:c r="Q91" s="96" t="n">
        <x:f t="shared" si="15"/>
        <x:v>2033</x:v>
      </x:c>
      <x:c r="R91" s="96" t="n">
        <x:f t="shared" si="15"/>
        <x:v>2034</x:v>
      </x:c>
      <x:c r="S91" s="96" t="n">
        <x:f t="shared" si="15"/>
        <x:v>2035</x:v>
      </x:c>
      <x:c r="T91" s="150"/>
      <x:c r="U91" s="59"/>
      <x:c r="W91" s="33"/>
    </x:row>
    <x:row r="92" ht="15" customHeight="1">
      <x:c r="A92" s="59"/>
      <x:c r="B92" s="148"/>
      <x:c r="C92" s="54"/>
      <x:c r="D92" s="72" t="s">
        <x:v>117</x:v>
      </x:c>
      <x:c r="E92" s="72" t="s">
        <x:v>58</x:v>
      </x:c>
      <x:c r="F92" s="71"/>
      <x:c r="G92" s="72"/>
      <x:c r="H92" s="72"/>
      <x:c r="I92" s="71"/>
      <x:c r="J92" s="73"/>
      <x:c r="K92" s="73"/>
      <x:c r="L92" s="73"/>
      <x:c r="M92" s="73"/>
      <x:c r="N92" s="73"/>
      <x:c r="O92" s="73"/>
      <x:c r="P92" s="73"/>
      <x:c r="Q92" s="73"/>
      <x:c r="R92" s="73"/>
      <x:c r="S92" s="101"/>
      <x:c r="T92" s="150"/>
      <x:c r="U92" s="59"/>
      <x:c r="W92" s="33"/>
    </x:row>
    <x:row r="93" ht="15" customHeight="1">
      <x:c r="A93" s="59"/>
      <x:c r="B93" s="148"/>
      <x:c r="C93" s="54"/>
      <x:c r="D93" s="36"/>
      <x:c r="E93" s="42"/>
      <x:c r="F93" s="97"/>
      <x:c r="G93" s="372" t="s">
        <x:v>58</x:v>
      </x:c>
      <x:c r="H93" s="372"/>
      <x:c r="I93" s="372"/>
      <x:c r="J93" s="78"/>
      <x:c r="K93" s="78"/>
      <x:c r="L93" s="78"/>
      <x:c r="M93" s="78"/>
      <x:c r="N93" s="75"/>
      <x:c r="O93" s="75"/>
      <x:c r="P93" s="75"/>
      <x:c r="Q93" s="75"/>
      <x:c r="R93" s="75"/>
      <x:c r="S93" s="102"/>
      <x:c r="T93" s="120"/>
      <x:c r="U93" s="59"/>
      <x:c r="W93" s="33"/>
    </x:row>
    <x:row r="94" ht="15" customHeight="1">
      <x:c r="A94" s="59"/>
      <x:c r="B94" s="148"/>
      <x:c r="C94" s="54"/>
      <x:c r="D94" s="36"/>
      <x:c r="E94" s="42"/>
      <x:c r="F94" s="97"/>
      <x:c r="G94" s="370"/>
      <x:c r="H94" s="370"/>
      <x:c r="I94" s="91" t="str">
        <x:v>Incremental sales from higher shopping frequency</x:v>
      </x:c>
      <x:c r="J94" s="712"/>
      <x:c r="K94" s="712" t="n">
        <x:v>150000</x:v>
      </x:c>
      <x:c r="L94" s="712" t="n">
        <x:v>300000</x:v>
      </x:c>
      <x:c r="M94" s="712" t="n">
        <x:v>300000</x:v>
      </x:c>
      <x:c r="N94" s="712" t="n">
        <x:v>300000</x:v>
      </x:c>
      <x:c r="O94" s="712" t="n">
        <x:v>300000</x:v>
      </x:c>
      <x:c r="P94" s="712" t="n">
        <x:v>300000</x:v>
      </x:c>
      <x:c r="Q94" s="712" t="n">
        <x:v>300000</x:v>
      </x:c>
      <x:c r="R94" s="712" t="n">
        <x:v>300000</x:v>
      </x:c>
      <x:c r="S94" s="712" t="n">
        <x:v>300000</x:v>
      </x:c>
      <x:c r="T94" s="151"/>
      <x:c r="U94" s="59"/>
      <x:c r="W94" s="33"/>
    </x:row>
    <x:row r="95" ht="15" customHeight="1">
      <x:c r="A95" s="59"/>
      <x:c r="B95" s="148"/>
      <x:c r="C95" s="54"/>
      <x:c r="D95" s="35"/>
      <x:c r="E95" s="42"/>
      <x:c r="F95" s="97"/>
      <x:c r="G95" s="370"/>
      <x:c r="H95" s="370"/>
      <x:c r="I95" s="91" t="str">
        <x:v>Incremental sales from personalised customer communication</x:v>
      </x:c>
      <x:c r="J95" s="712"/>
      <x:c r="K95" s="712" t="n">
        <x:v>100000</x:v>
      </x:c>
      <x:c r="L95" s="712" t="n">
        <x:v>150000</x:v>
      </x:c>
      <x:c r="M95" s="712" t="n">
        <x:v>150000</x:v>
      </x:c>
      <x:c r="N95" s="712" t="n">
        <x:v>150000</x:v>
      </x:c>
      <x:c r="O95" s="712" t="n">
        <x:v>150000</x:v>
      </x:c>
      <x:c r="P95" s="712" t="n">
        <x:v>150000</x:v>
      </x:c>
      <x:c r="Q95" s="712" t="n">
        <x:v>150000</x:v>
      </x:c>
      <x:c r="R95" s="712" t="n">
        <x:v>150000</x:v>
      </x:c>
      <x:c r="S95" s="712" t="n">
        <x:v>150000</x:v>
      </x:c>
      <x:c r="T95" s="151"/>
      <x:c r="U95" s="59"/>
      <x:c r="W95" s="33"/>
    </x:row>
    <x:row r="96" ht="15" customHeight="1">
      <x:c r="A96" s="59"/>
      <x:c r="B96" s="148"/>
      <x:c r="C96" s="54"/>
      <x:c r="D96" s="36"/>
      <x:c r="E96" s="42"/>
      <x:c r="F96" s="97"/>
      <x:c r="G96" s="370"/>
      <x:c r="H96" s="370"/>
      <x:c r="I96" s="91" t="str"/>
      <x:c r="J96" s="712"/>
      <x:c r="K96" s="712"/>
      <x:c r="L96" s="712"/>
      <x:c r="M96" s="712"/>
      <x:c r="N96" s="712"/>
      <x:c r="O96" s="712"/>
      <x:c r="P96" s="712"/>
      <x:c r="Q96" s="712"/>
      <x:c r="R96" s="712"/>
      <x:c r="S96" s="712"/>
      <x:c r="T96" s="151"/>
      <x:c r="U96" s="59"/>
      <x:c r="W96" s="33"/>
    </x:row>
    <x:row r="97" ht="15" customHeight="1">
      <x:c r="A97" s="59"/>
      <x:c r="B97" s="148"/>
      <x:c r="C97" s="54"/>
      <x:c r="D97" s="36"/>
      <x:c r="E97" s="42"/>
      <x:c r="F97" s="97"/>
      <x:c r="G97" s="370"/>
      <x:c r="H97" s="370"/>
      <x:c r="I97" s="91" t="str"/>
      <x:c r="J97" s="712"/>
      <x:c r="K97" s="712"/>
      <x:c r="L97" s="712"/>
      <x:c r="M97" s="712"/>
      <x:c r="N97" s="712"/>
      <x:c r="O97" s="712"/>
      <x:c r="P97" s="712"/>
      <x:c r="Q97" s="712"/>
      <x:c r="R97" s="712"/>
      <x:c r="S97" s="712"/>
      <x:c r="T97" s="151"/>
      <x:c r="U97" s="59"/>
      <x:c r="W97" s="33"/>
    </x:row>
    <x:row r="98" ht="15" customHeight="1">
      <x:c r="A98" s="59"/>
      <x:c r="B98" s="148"/>
      <x:c r="C98" s="54"/>
      <x:c r="D98" s="35"/>
      <x:c r="E98" s="42"/>
      <x:c r="F98" s="97"/>
      <x:c r="G98" s="370"/>
      <x:c r="H98" s="370"/>
      <x:c r="I98" s="91" t="str"/>
      <x:c r="J98" s="712"/>
      <x:c r="K98" s="712"/>
      <x:c r="L98" s="712"/>
      <x:c r="M98" s="712"/>
      <x:c r="N98" s="712"/>
      <x:c r="O98" s="712"/>
      <x:c r="P98" s="712"/>
      <x:c r="Q98" s="712"/>
      <x:c r="R98" s="712"/>
      <x:c r="S98" s="712"/>
      <x:c r="T98" s="151"/>
      <x:c r="U98" s="59"/>
      <x:c r="W98" s="33"/>
    </x:row>
    <x:row r="99" ht="15" customHeight="1">
      <x:c r="A99" s="59"/>
      <x:c r="B99" s="148"/>
      <x:c r="C99" s="54"/>
      <x:c r="D99" s="36"/>
      <x:c r="E99" s="42"/>
      <x:c r="F99" s="97"/>
      <x:c r="G99" s="370"/>
      <x:c r="H99" s="370"/>
      <x:c r="I99" s="91" t="str"/>
      <x:c r="J99" s="712"/>
      <x:c r="K99" s="712"/>
      <x:c r="L99" s="712"/>
      <x:c r="M99" s="712"/>
      <x:c r="N99" s="712"/>
      <x:c r="O99" s="712"/>
      <x:c r="P99" s="712"/>
      <x:c r="Q99" s="712"/>
      <x:c r="R99" s="712"/>
      <x:c r="S99" s="712"/>
      <x:c r="T99" s="152"/>
      <x:c r="U99" s="59"/>
      <x:c r="W99" s="33"/>
    </x:row>
    <x:row r="100" ht="15" customHeight="1">
      <x:c r="A100" s="59"/>
      <x:c r="B100" s="148"/>
      <x:c r="C100" s="54"/>
      <x:c r="D100" s="36"/>
      <x:c r="E100" s="35"/>
      <x:c r="F100" s="97"/>
      <x:c r="G100" s="81"/>
      <x:c r="H100" s="81"/>
      <x:c r="I100" s="81"/>
      <x:c r="J100" s="82"/>
      <x:c r="K100" s="82"/>
      <x:c r="L100" s="82"/>
      <x:c r="M100" s="82"/>
      <x:c r="N100" s="82"/>
      <x:c r="O100" s="82"/>
      <x:c r="P100" s="83"/>
      <x:c r="Q100" s="83"/>
      <x:c r="R100" s="83"/>
      <x:c r="S100" s="84"/>
      <x:c r="T100" s="117"/>
      <x:c r="U100" s="59"/>
      <x:c r="W100" s="33"/>
    </x:row>
    <x:row r="101" ht="15" customHeight="1">
      <x:c r="A101" s="59"/>
      <x:c r="B101" s="148"/>
      <x:c r="C101" s="54"/>
      <x:c r="D101" s="35"/>
      <x:c r="E101" s="35"/>
      <x:c r="F101" s="178"/>
      <x:c r="G101" s="365" t="s">
        <x:v>125</x:v>
      </x:c>
      <x:c r="H101" s="365"/>
      <x:c r="I101" s="366"/>
      <x:c r="J101" s="714" t="n">
        <x:f t="shared" ref="J101:S101" si="16">SUM(J94:J99)</x:f>
        <x:v>0</x:v>
      </x:c>
      <x:c r="K101" s="714" t="n">
        <x:f t="shared" si="16">SUM(K94:K99)</x:f>
        <x:v>250000</x:v>
      </x:c>
      <x:c r="L101" s="714" t="n">
        <x:f t="shared" si="16">SUM(L94:L99)</x:f>
        <x:v>450000</x:v>
      </x:c>
      <x:c r="M101" s="714" t="n">
        <x:f t="shared" si="16">SUM(M94:M99)</x:f>
        <x:v>450000</x:v>
      </x:c>
      <x:c r="N101" s="714" t="n">
        <x:f t="shared" si="16">SUM(N94:N99)</x:f>
        <x:v>450000</x:v>
      </x:c>
      <x:c r="O101" s="714" t="n">
        <x:f t="shared" si="16">SUM(O94:O99)</x:f>
        <x:v>450000</x:v>
      </x:c>
      <x:c r="P101" s="714" t="n">
        <x:f t="shared" si="16">SUM(P94:P99)</x:f>
        <x:v>450000</x:v>
      </x:c>
      <x:c r="Q101" s="714" t="n">
        <x:f t="shared" si="16">SUM(Q94:Q99)</x:f>
        <x:v>450000</x:v>
      </x:c>
      <x:c r="R101" s="714" t="n">
        <x:f t="shared" si="16">SUM(R94:R99)</x:f>
        <x:v>450000</x:v>
      </x:c>
      <x:c r="S101" s="714" t="n">
        <x:f t="shared" si="16">SUM(S94:S99)</x:f>
        <x:v>450000</x:v>
      </x:c>
      <x:c r="T101" s="117"/>
      <x:c r="U101" s="59"/>
      <x:c r="W101" s="33"/>
    </x:row>
    <x:row r="102" ht="15" customHeight="1">
      <x:c r="A102" s="59"/>
      <x:c r="B102" s="148"/>
      <x:c r="C102" s="54"/>
      <x:c r="D102" s="36"/>
      <x:c r="E102" s="35"/>
      <x:c r="F102" s="35"/>
      <x:c r="G102" s="55"/>
      <x:c r="H102" s="55"/>
      <x:c r="I102" s="35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112"/>
      <x:c r="T102" s="117"/>
      <x:c r="U102" s="59"/>
      <x:c r="W102" s="33"/>
    </x:row>
    <x:row r="103" ht="15" customHeight="1">
      <x:c r="A103" s="59"/>
      <x:c r="B103" s="148"/>
      <x:c r="C103" s="54"/>
      <x:c r="D103" s="35"/>
      <x:c r="E103" s="35"/>
      <x:c r="F103" s="35"/>
      <x:c r="G103" s="94" t="s">
        <x:v>3</x:v>
      </x:c>
      <x:c r="H103" s="95" t="s">
        <x:v>116</x:v>
      </x:c>
      <x:c r="I103" s="96" t="s">
        <x:v>44</x:v>
      </x:c>
      <x:c r="J103" s="96" t="n">
        <x:f t="shared" ref="J103:S103" si="17">J31</x:f>
        <x:v>2026</x:v>
      </x:c>
      <x:c r="K103" s="96" t="n">
        <x:f t="shared" si="17"/>
        <x:v>2027</x:v>
      </x:c>
      <x:c r="L103" s="96" t="n">
        <x:f t="shared" si="17"/>
        <x:v>2028</x:v>
      </x:c>
      <x:c r="M103" s="96" t="n">
        <x:f t="shared" si="17"/>
        <x:v>2029</x:v>
      </x:c>
      <x:c r="N103" s="96" t="n">
        <x:f t="shared" si="17"/>
        <x:v>2030</x:v>
      </x:c>
      <x:c r="O103" s="96" t="n">
        <x:f t="shared" si="17"/>
        <x:v>2031</x:v>
      </x:c>
      <x:c r="P103" s="96" t="n">
        <x:f t="shared" si="17"/>
        <x:v>2032</x:v>
      </x:c>
      <x:c r="Q103" s="96" t="n">
        <x:f t="shared" si="17"/>
        <x:v>2033</x:v>
      </x:c>
      <x:c r="R103" s="96" t="n">
        <x:f t="shared" si="17"/>
        <x:v>2034</x:v>
      </x:c>
      <x:c r="S103" s="96" t="n">
        <x:f t="shared" si="17"/>
        <x:v>2035</x:v>
      </x:c>
      <x:c r="T103" s="117"/>
      <x:c r="U103" s="59"/>
      <x:c r="W103" s="33"/>
    </x:row>
    <x:row r="104" ht="15" customHeight="1">
      <x:c r="A104" s="59"/>
      <x:c r="B104" s="148"/>
      <x:c r="C104" s="54"/>
      <x:c r="D104" s="72" t="s">
        <x:v>128</x:v>
      </x:c>
      <x:c r="E104" s="72" t="s">
        <x:v>143</x:v>
      </x:c>
      <x:c r="F104" s="71"/>
      <x:c r="G104" s="72"/>
      <x:c r="H104" s="72"/>
      <x:c r="I104" s="71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101"/>
      <x:c r="T104" s="117"/>
      <x:c r="U104" s="59"/>
      <x:c r="W104" s="33"/>
    </x:row>
    <x:row r="105" ht="15" customHeight="1">
      <x:c r="A105" s="59"/>
      <x:c r="B105" s="148"/>
      <x:c r="C105" s="54"/>
      <x:c r="D105" s="36"/>
      <x:c r="E105" s="42"/>
      <x:c r="F105" s="97"/>
      <x:c r="G105" s="372" t="s">
        <x:v>59</x:v>
      </x:c>
      <x:c r="H105" s="372"/>
      <x:c r="I105" s="372"/>
      <x:c r="J105" s="78"/>
      <x:c r="K105" s="78"/>
      <x:c r="L105" s="78"/>
      <x:c r="M105" s="78"/>
      <x:c r="N105" s="75"/>
      <x:c r="O105" s="75"/>
      <x:c r="P105" s="75"/>
      <x:c r="Q105" s="75"/>
      <x:c r="R105" s="75"/>
      <x:c r="S105" s="102"/>
      <x:c r="T105" s="151"/>
      <x:c r="U105" s="59"/>
      <x:c r="W105" s="33"/>
    </x:row>
    <x:row r="106" ht="15" customHeight="1">
      <x:c r="A106" s="59"/>
      <x:c r="B106" s="148"/>
      <x:c r="C106" s="54"/>
      <x:c r="D106" s="36"/>
      <x:c r="E106" s="42"/>
      <x:c r="F106" s="97"/>
      <x:c r="G106" s="370"/>
      <x:c r="H106" s="370"/>
      <x:c r="I106" s="91" t="str">
        <x:v>Reduced checkout and customer-service handling effort</x:v>
      </x:c>
      <x:c r="J106" s="712"/>
      <x:c r="K106" s="712" t="n">
        <x:v>100000</x:v>
      </x:c>
      <x:c r="L106" s="712" t="n">
        <x:v>100000</x:v>
      </x:c>
      <x:c r="M106" s="712" t="n">
        <x:v>100000</x:v>
      </x:c>
      <x:c r="N106" s="712" t="n">
        <x:v>100000</x:v>
      </x:c>
      <x:c r="O106" s="712" t="n">
        <x:v>100000</x:v>
      </x:c>
      <x:c r="P106" s="712" t="n">
        <x:v>100000</x:v>
      </x:c>
      <x:c r="Q106" s="712" t="n">
        <x:v>100000</x:v>
      </x:c>
      <x:c r="R106" s="712" t="n">
        <x:v>100000</x:v>
      </x:c>
      <x:c r="S106" s="712" t="n">
        <x:v>100000</x:v>
      </x:c>
      <x:c r="T106" s="151"/>
      <x:c r="U106" s="59"/>
      <x:c r="W106" s="33"/>
    </x:row>
    <x:row r="107" ht="15" customHeight="1">
      <x:c r="A107" s="59"/>
      <x:c r="B107" s="148"/>
      <x:c r="C107" s="54"/>
      <x:c r="D107" s="35"/>
      <x:c r="E107" s="42"/>
      <x:c r="F107" s="97"/>
      <x:c r="G107" s="370"/>
      <x:c r="H107" s="370"/>
      <x:c r="I107" s="91" t="str">
        <x:v>Reduced invoice printing and paper handling</x:v>
      </x:c>
      <x:c r="J107" s="712"/>
      <x:c r="K107" s="712" t="n">
        <x:v>80000</x:v>
      </x:c>
      <x:c r="L107" s="712" t="n">
        <x:v>80000</x:v>
      </x:c>
      <x:c r="M107" s="712" t="n">
        <x:v>80000</x:v>
      </x:c>
      <x:c r="N107" s="712" t="n">
        <x:v>80000</x:v>
      </x:c>
      <x:c r="O107" s="712" t="n">
        <x:v>80000</x:v>
      </x:c>
      <x:c r="P107" s="712" t="n">
        <x:v>80000</x:v>
      </x:c>
      <x:c r="Q107" s="712" t="n">
        <x:v>80000</x:v>
      </x:c>
      <x:c r="R107" s="712" t="n">
        <x:v>80000</x:v>
      </x:c>
      <x:c r="S107" s="712" t="n">
        <x:v>80000</x:v>
      </x:c>
      <x:c r="T107" s="151"/>
      <x:c r="U107" s="59"/>
      <x:c r="W107" s="33"/>
    </x:row>
    <x:row r="108" ht="15" customHeight="1">
      <x:c r="A108" s="59"/>
      <x:c r="B108" s="148"/>
      <x:c r="C108" s="54"/>
      <x:c r="D108" s="36"/>
      <x:c r="E108" s="42"/>
      <x:c r="F108" s="97"/>
      <x:c r="G108" s="370"/>
      <x:c r="H108" s="370"/>
      <x:c r="I108" s="91" t="str">
        <x:v>Efficiency from digital shopping-list preparation and self-service</x:v>
      </x:c>
      <x:c r="J108" s="712"/>
      <x:c r="K108" s="712" t="n">
        <x:v>100000</x:v>
      </x:c>
      <x:c r="L108" s="712" t="n">
        <x:v>100000</x:v>
      </x:c>
      <x:c r="M108" s="712" t="n">
        <x:v>100000</x:v>
      </x:c>
      <x:c r="N108" s="712" t="n">
        <x:v>100000</x:v>
      </x:c>
      <x:c r="O108" s="712" t="n">
        <x:v>100000</x:v>
      </x:c>
      <x:c r="P108" s="712" t="n">
        <x:v>100000</x:v>
      </x:c>
      <x:c r="Q108" s="712" t="n">
        <x:v>100000</x:v>
      </x:c>
      <x:c r="R108" s="712" t="n">
        <x:v>100000</x:v>
      </x:c>
      <x:c r="S108" s="712" t="n">
        <x:v>100000</x:v>
      </x:c>
      <x:c r="T108" s="151"/>
      <x:c r="U108" s="59"/>
      <x:c r="W108" s="33"/>
    </x:row>
    <x:row r="109" ht="15" customHeight="1">
      <x:c r="A109" s="59"/>
      <x:c r="B109" s="148"/>
      <x:c r="C109" s="54"/>
      <x:c r="D109" s="36"/>
      <x:c r="E109" s="42"/>
      <x:c r="F109" s="97"/>
      <x:c r="G109" s="370"/>
      <x:c r="H109" s="370"/>
      <x:c r="I109" s="91" t="str"/>
      <x:c r="J109" s="712"/>
      <x:c r="K109" s="712"/>
      <x:c r="L109" s="712"/>
      <x:c r="M109" s="712"/>
      <x:c r="N109" s="712"/>
      <x:c r="O109" s="712"/>
      <x:c r="P109" s="712"/>
      <x:c r="Q109" s="712"/>
      <x:c r="R109" s="712"/>
      <x:c r="S109" s="712"/>
      <x:c r="T109" s="151"/>
      <x:c r="U109" s="59"/>
      <x:c r="W109" s="33"/>
    </x:row>
    <x:row r="110" ht="15" customHeight="1">
      <x:c r="A110" s="59"/>
      <x:c r="B110" s="148"/>
      <x:c r="C110" s="54"/>
      <x:c r="D110" s="35"/>
      <x:c r="E110" s="42"/>
      <x:c r="F110" s="97"/>
      <x:c r="G110" s="370"/>
      <x:c r="H110" s="370"/>
      <x:c r="I110" s="91" t="str"/>
      <x:c r="J110" s="712"/>
      <x:c r="K110" s="712"/>
      <x:c r="L110" s="712"/>
      <x:c r="M110" s="712"/>
      <x:c r="N110" s="712"/>
      <x:c r="O110" s="712"/>
      <x:c r="P110" s="712"/>
      <x:c r="Q110" s="712"/>
      <x:c r="R110" s="712"/>
      <x:c r="S110" s="712"/>
      <x:c r="T110" s="151"/>
      <x:c r="U110" s="59"/>
      <x:c r="W110" s="33"/>
    </x:row>
    <x:row r="111" ht="15" customHeight="1">
      <x:c r="A111" s="59"/>
      <x:c r="B111" s="148"/>
      <x:c r="C111" s="54"/>
      <x:c r="D111" s="36"/>
      <x:c r="E111" s="42"/>
      <x:c r="F111" s="97"/>
      <x:c r="G111" s="370"/>
      <x:c r="H111" s="370"/>
      <x:c r="I111" s="91" t="str"/>
      <x:c r="J111" s="712"/>
      <x:c r="K111" s="712"/>
      <x:c r="L111" s="712"/>
      <x:c r="M111" s="712"/>
      <x:c r="N111" s="712"/>
      <x:c r="O111" s="712"/>
      <x:c r="P111" s="712"/>
      <x:c r="Q111" s="712"/>
      <x:c r="R111" s="712"/>
      <x:c r="S111" s="712"/>
      <x:c r="T111" s="152"/>
      <x:c r="U111" s="59"/>
      <x:c r="W111" s="33"/>
    </x:row>
    <x:row r="112" ht="15" customHeight="1">
      <x:c r="A112" s="59"/>
      <x:c r="B112" s="148"/>
      <x:c r="C112" s="54"/>
      <x:c r="D112" s="36"/>
      <x:c r="E112" s="42"/>
      <x:c r="F112" s="97"/>
      <x:c r="G112" s="81"/>
      <x:c r="H112" s="81"/>
      <x:c r="I112" s="81"/>
      <x:c r="J112" s="82"/>
      <x:c r="K112" s="82"/>
      <x:c r="L112" s="82"/>
      <x:c r="M112" s="82"/>
      <x:c r="N112" s="82"/>
      <x:c r="O112" s="82"/>
      <x:c r="P112" s="83"/>
      <x:c r="Q112" s="83"/>
      <x:c r="R112" s="83"/>
      <x:c r="S112" s="84"/>
      <x:c r="T112" s="117"/>
      <x:c r="U112" s="59"/>
      <x:c r="W112" s="33"/>
    </x:row>
    <x:row r="113" ht="15" customHeight="1">
      <x:c r="A113" s="59"/>
      <x:c r="B113" s="148"/>
      <x:c r="C113" s="54"/>
      <x:c r="D113" s="35"/>
      <x:c r="E113" s="35"/>
      <x:c r="F113" s="178"/>
      <x:c r="G113" s="365" t="s">
        <x:v>125</x:v>
      </x:c>
      <x:c r="H113" s="365"/>
      <x:c r="I113" s="366"/>
      <x:c r="J113" s="714" t="n">
        <x:f t="shared" ref="J113:S113" si="18">SUM(J106:J111)</x:f>
        <x:v>0</x:v>
      </x:c>
      <x:c r="K113" s="714" t="n">
        <x:f t="shared" si="18">SUM(K106:K111)</x:f>
        <x:v>280000</x:v>
      </x:c>
      <x:c r="L113" s="714" t="n">
        <x:f>SUM(L106:L111)</x:f>
        <x:v>280000</x:v>
      </x:c>
      <x:c r="M113" s="714" t="n">
        <x:f t="shared" si="18">SUM(M106:M111)</x:f>
        <x:v>280000</x:v>
      </x:c>
      <x:c r="N113" s="714" t="n">
        <x:f t="shared" si="18">SUM(N106:N111)</x:f>
        <x:v>280000</x:v>
      </x:c>
      <x:c r="O113" s="714" t="n">
        <x:f t="shared" si="18">SUM(O106:O111)</x:f>
        <x:v>280000</x:v>
      </x:c>
      <x:c r="P113" s="714" t="n">
        <x:f t="shared" si="18">SUM(P106:P111)</x:f>
        <x:v>280000</x:v>
      </x:c>
      <x:c r="Q113" s="714" t="n">
        <x:f t="shared" si="18">SUM(Q106:Q111)</x:f>
        <x:v>280000</x:v>
      </x:c>
      <x:c r="R113" s="714" t="n">
        <x:f t="shared" si="18">SUM(R106:R111)</x:f>
        <x:v>280000</x:v>
      </x:c>
      <x:c r="S113" s="714" t="n">
        <x:f t="shared" si="18">SUM(S106:S111)</x:f>
        <x:v>280000</x:v>
      </x:c>
      <x:c r="T113" s="117"/>
      <x:c r="U113" s="59"/>
      <x:c r="W113" s="33"/>
    </x:row>
    <x:row r="114" ht="16.5" customHeight="1">
      <x:c r="A114" s="59"/>
      <x:c r="B114" s="148"/>
      <x:c r="C114" s="54"/>
      <x:c r="D114" s="36"/>
      <x:c r="E114" s="35"/>
      <x:c r="F114" s="35"/>
      <x:c r="G114" s="35"/>
      <x:c r="H114" s="35"/>
      <x:c r="I114" s="35"/>
      <x:c r="J114" s="43"/>
      <x:c r="K114" s="43"/>
      <x:c r="L114" s="43"/>
      <x:c r="M114" s="43"/>
      <x:c r="N114" s="35"/>
      <x:c r="O114" s="35"/>
      <x:c r="P114" s="35"/>
      <x:c r="Q114" s="35"/>
      <x:c r="R114" s="35"/>
      <x:c r="S114" s="111"/>
      <x:c r="T114" s="117"/>
      <x:c r="U114" s="59"/>
      <x:c r="W114" s="33"/>
    </x:row>
    <x:row r="115" ht="15" customHeight="1">
      <x:c r="A115" s="59"/>
      <x:c r="B115" s="148"/>
      <x:c r="C115" s="54"/>
      <x:c r="D115" s="72" t="s">
        <x:v>138</x:v>
      </x:c>
      <x:c r="E115" s="72" t="s">
        <x:v>144</x:v>
      </x:c>
      <x:c r="F115" s="71"/>
      <x:c r="G115" s="72"/>
      <x:c r="H115" s="72"/>
      <x:c r="I115" s="71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109"/>
      <x:c r="T115" s="117"/>
      <x:c r="U115" s="59"/>
      <x:c r="W115" s="33"/>
    </x:row>
    <x:row r="116" ht="15" customHeight="1">
      <x:c r="A116" s="59"/>
      <x:c r="B116" s="148"/>
      <x:c r="C116" s="54"/>
      <x:c r="D116" s="36"/>
      <x:c r="E116" s="42"/>
      <x:c r="F116" s="97"/>
      <x:c r="G116" s="364" t="s">
        <x:v>60</x:v>
      </x:c>
      <x:c r="H116" s="364"/>
      <x:c r="I116" s="364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101"/>
      <x:c r="T116" s="152"/>
      <x:c r="U116" s="59"/>
      <x:c r="W116" s="33"/>
    </x:row>
    <x:row r="117" ht="93" customHeight="1">
      <x:c r="A117" s="59"/>
      <x:c r="B117" s="148"/>
      <x:c r="C117" s="54"/>
      <x:c r="D117" s="36"/>
      <x:c r="E117" s="42"/>
      <x:c r="F117" s="97"/>
      <x:c r="G117" s="367" t="str">
        <x:v>Higher customer satisfaction and loyalty; consistent mobile touchpoint; scalable personalised communication channel; better digital customer insight.</x:v>
      </x:c>
      <x:c r="H117" s="368"/>
      <x:c r="I117" s="368"/>
      <x:c r="J117" s="368"/>
      <x:c r="K117" s="368"/>
      <x:c r="L117" s="368"/>
      <x:c r="M117" s="368"/>
      <x:c r="N117" s="368"/>
      <x:c r="O117" s="368"/>
      <x:c r="P117" s="368"/>
      <x:c r="Q117" s="368"/>
      <x:c r="R117" s="368"/>
      <x:c r="S117" s="369"/>
      <x:c r="T117" s="152"/>
      <x:c r="U117" s="59"/>
      <x:c r="W117" s="33"/>
    </x:row>
    <x:row r="118" ht="15" customHeight="1">
      <x:c r="A118" s="59"/>
      <x:c r="B118" s="148"/>
      <x:c r="C118" s="54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144"/>
      <x:c r="U118" s="59"/>
      <x:c r="W118" s="33"/>
    </x:row>
    <x:row r="119" ht="15" customHeight="1">
      <x:c r="A119" s="59"/>
      <x:c r="B119" s="148"/>
      <x:c r="C119" s="128" t="s">
        <x:v>145</x:v>
      </x:c>
      <x:c r="D119" s="128"/>
      <x:c r="E119" s="128"/>
      <x:c r="F119" s="128"/>
      <x:c r="G119" s="128"/>
      <x:c r="H119" s="128"/>
      <x:c r="I119" s="145"/>
      <x:c r="J119" s="718" t="n">
        <x:f t="shared" ref="J119:S119" si="19">J101+J113</x:f>
        <x:v>0</x:v>
      </x:c>
      <x:c r="K119" s="718" t="n">
        <x:f t="shared" si="19">K101+K113</x:f>
        <x:v>530000</x:v>
      </x:c>
      <x:c r="L119" s="718" t="n">
        <x:f t="shared" si="19">L101+L113</x:f>
        <x:v>730000</x:v>
      </x:c>
      <x:c r="M119" s="718" t="n">
        <x:f t="shared" si="19">M101+M113</x:f>
        <x:v>730000</x:v>
      </x:c>
      <x:c r="N119" s="718" t="n">
        <x:f t="shared" si="19">N101+N113</x:f>
        <x:v>730000</x:v>
      </x:c>
      <x:c r="O119" s="718" t="n">
        <x:f t="shared" si="19">O101+O113</x:f>
        <x:v>730000</x:v>
      </x:c>
      <x:c r="P119" s="718" t="n">
        <x:f t="shared" si="19">P101+P113</x:f>
        <x:v>730000</x:v>
      </x:c>
      <x:c r="Q119" s="718" t="n">
        <x:f t="shared" si="19">Q101+Q113</x:f>
        <x:v>730000</x:v>
      </x:c>
      <x:c r="R119" s="718" t="n">
        <x:f t="shared" si="19">R101+R113</x:f>
        <x:v>730000</x:v>
      </x:c>
      <x:c r="S119" s="718" t="n">
        <x:f t="shared" si="19">S101+S113</x:f>
        <x:v>730000</x:v>
      </x:c>
      <x:c r="T119" s="144"/>
      <x:c r="U119" s="59"/>
      <x:c r="V119" s="35"/>
      <x:c r="W119" s="33"/>
    </x:row>
    <x:row r="120" ht="15" customHeight="1">
      <x:c r="A120" s="59"/>
      <x:c r="B120" s="123"/>
      <x:c r="C120" s="138"/>
      <x:c r="D120" s="141"/>
      <x:c r="E120" s="141"/>
      <x:c r="F120" s="141"/>
      <x:c r="G120" s="141"/>
      <x:c r="H120" s="141"/>
      <x:c r="I120" s="141"/>
      <x:c r="J120" s="141"/>
      <x:c r="K120" s="141"/>
      <x:c r="L120" s="141"/>
      <x:c r="M120" s="141"/>
      <x:c r="N120" s="141"/>
      <x:c r="O120" s="141"/>
      <x:c r="P120" s="141"/>
      <x:c r="Q120" s="141"/>
      <x:c r="R120" s="141"/>
      <x:c r="S120" s="141"/>
      <x:c r="T120" s="144"/>
      <x:c r="U120" s="59"/>
      <x:c r="V120" s="53"/>
      <x:c r="W120" s="33"/>
    </x:row>
    <x:row r="121" s="52" customFormat="1" ht="15" customHeight="1">
      <x:c r="A121" s="59"/>
      <x:c r="B121" s="59"/>
      <x:c r="C121" s="59"/>
      <x:c r="D121" s="60"/>
      <x:c r="E121" s="59"/>
      <x:c r="F121" s="59"/>
      <x:c r="G121" s="59"/>
      <x:c r="H121" s="59"/>
      <x:c r="I121" s="61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153"/>
      <x:c r="U121" s="59"/>
      <x:c r="V121" s="53"/>
      <x:c r="W121" s="33"/>
      <x:c r="X121" s="33"/>
      <x:c r="Y121" s="33"/>
      <x:c r="Z121" s="33"/>
      <x:c r="AA121" s="33"/>
      <x:c r="AB121" s="33"/>
      <x:c r="AC121" s="33"/>
      <x:c r="AD121" s="33"/>
    </x:row>
    <x:row r="122" ht="19.5" customHeight="1">
      <x:c r="A122" s="59"/>
      <x:c r="B122" s="115"/>
      <x:c r="C122" s="146" t="s">
        <x:v>146</x:v>
      </x:c>
      <x:c r="D122" s="125"/>
      <x:c r="E122" s="105"/>
      <x:c r="F122" s="105"/>
      <x:c r="G122" s="146"/>
      <x:c r="H122" s="146"/>
      <x:c r="I122" s="125"/>
      <x:c r="J122" s="125"/>
      <x:c r="K122" s="125"/>
      <x:c r="L122" s="125"/>
      <x:c r="M122" s="125"/>
      <x:c r="N122" s="125"/>
      <x:c r="O122" s="125"/>
      <x:c r="P122" s="125"/>
      <x:c r="Q122" s="125"/>
      <x:c r="R122" s="125"/>
      <x:c r="S122" s="125"/>
      <x:c r="T122" s="108"/>
      <x:c r="U122" s="59"/>
      <x:c r="V122" s="53"/>
      <x:c r="W122" s="33"/>
    </x:row>
    <x:row r="123" ht="15" customHeight="1">
      <x:c r="A123" s="59"/>
      <x:c r="B123" s="116"/>
      <x:c r="C123" s="156"/>
      <x:c r="D123" s="157"/>
      <x:c r="E123" s="158"/>
      <x:c r="F123" s="158"/>
      <x:c r="G123" s="158"/>
      <x:c r="H123" s="158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144"/>
      <x:c r="U123" s="60"/>
      <x:c r="V123" s="53"/>
      <x:c r="W123" s="33"/>
    </x:row>
    <x:row r="124" ht="15" customHeight="1">
      <x:c r="A124" s="59"/>
      <x:c r="B124" s="116"/>
      <x:c r="C124" s="159"/>
      <x:c r="D124" s="35"/>
      <x:c r="E124" s="50"/>
      <x:c r="F124" s="50"/>
      <x:c r="G124" s="100"/>
      <x:c r="H124" s="169"/>
      <x:c r="I124" s="275" t="s">
        <x:v>125</x:v>
      </x:c>
      <x:c r="J124" s="168" t="n">
        <x:f t="shared" ref="J124:S124" si="20">+J103</x:f>
        <x:v>2026</x:v>
      </x:c>
      <x:c r="K124" s="96" t="n">
        <x:f t="shared" si="20"/>
        <x:v>2027</x:v>
      </x:c>
      <x:c r="L124" s="96" t="n">
        <x:f t="shared" si="20"/>
        <x:v>2028</x:v>
      </x:c>
      <x:c r="M124" s="96" t="n">
        <x:f t="shared" si="20"/>
        <x:v>2029</x:v>
      </x:c>
      <x:c r="N124" s="96" t="n">
        <x:f t="shared" si="20"/>
        <x:v>2030</x:v>
      </x:c>
      <x:c r="O124" s="96" t="n">
        <x:f t="shared" si="20"/>
        <x:v>2031</x:v>
      </x:c>
      <x:c r="P124" s="96" t="n">
        <x:f t="shared" si="20"/>
        <x:v>2032</x:v>
      </x:c>
      <x:c r="Q124" s="96" t="n">
        <x:f t="shared" si="20"/>
        <x:v>2033</x:v>
      </x:c>
      <x:c r="R124" s="96" t="n">
        <x:f t="shared" si="20"/>
        <x:v>2034</x:v>
      </x:c>
      <x:c r="S124" s="96" t="n">
        <x:f t="shared" si="20"/>
        <x:v>2035</x:v>
      </x:c>
      <x:c r="T124" s="182"/>
      <x:c r="U124" s="181"/>
      <x:c r="V124" s="51"/>
      <x:c r="W124" s="33"/>
    </x:row>
    <x:row r="125" ht="15" customHeight="1">
      <x:c r="A125" s="59"/>
      <x:c r="B125" s="116"/>
      <x:c r="C125" s="159"/>
      <x:c r="D125" s="35"/>
      <x:c r="E125" s="56"/>
      <x:c r="F125" s="56"/>
      <x:c r="G125" s="360" t="s">
        <x:v>80</x:v>
      </x:c>
      <x:c r="H125" s="361"/>
      <x:c r="I125" s="722" t="n">
        <x:f>SUM(J125:S125)</x:f>
        <x:v>775000</x:v>
      </x:c>
      <x:c r="J125" s="723" t="n">
        <x:f>J50</x:f>
        <x:v>100000</x:v>
      </x:c>
      <x:c r="K125" s="724" t="n">
        <x:f t="shared" ref="K125:S125" si="21">K50</x:f>
        <x:v>75000</x:v>
      </x:c>
      <x:c r="L125" s="724" t="n">
        <x:f t="shared" si="21">L50</x:f>
        <x:v>75000</x:v>
      </x:c>
      <x:c r="M125" s="724" t="n">
        <x:f t="shared" si="21">M50</x:f>
        <x:v>75000</x:v>
      </x:c>
      <x:c r="N125" s="724" t="n">
        <x:f t="shared" si="21">N50</x:f>
        <x:v>75000</x:v>
      </x:c>
      <x:c r="O125" s="724" t="n">
        <x:f t="shared" si="21">O50</x:f>
        <x:v>75000</x:v>
      </x:c>
      <x:c r="P125" s="724" t="n">
        <x:f t="shared" si="21">P50</x:f>
        <x:v>75000</x:v>
      </x:c>
      <x:c r="Q125" s="724" t="n">
        <x:f t="shared" si="21">Q50</x:f>
        <x:v>75000</x:v>
      </x:c>
      <x:c r="R125" s="724" t="n">
        <x:f t="shared" si="21">R50</x:f>
        <x:v>75000</x:v>
      </x:c>
      <x:c r="S125" s="724" t="n">
        <x:f t="shared" si="21">S50</x:f>
        <x:v>75000</x:v>
      </x:c>
      <x:c r="T125" s="183"/>
      <x:c r="U125" s="294">
        <x:v>-1</x:v>
      </x:c>
      <x:c r="V125" s="51"/>
      <x:c r="W125" s="33"/>
    </x:row>
    <x:row r="126" s="52" customFormat="1" ht="15" customHeight="1">
      <x:c r="A126" s="59"/>
      <x:c r="B126" s="116"/>
      <x:c r="C126" s="159"/>
      <x:c r="D126" s="35"/>
      <x:c r="E126" s="56"/>
      <x:c r="F126" s="56"/>
      <x:c r="G126" s="362" t="s">
        <x:v>89</x:v>
      </x:c>
      <x:c r="H126" s="363"/>
      <x:c r="I126" s="723" t="n">
        <x:f t="shared" ref="I126" si="22">SUM(J126:S126)</x:f>
        <x:v>761974.6000000001</x:v>
      </x:c>
      <x:c r="J126" s="723" t="n">
        <x:f>J84</x:f>
        <x:v>15000</x:v>
      </x:c>
      <x:c r="K126" s="724" t="n">
        <x:f t="shared" ref="K126:S126" si="23">K84</x:f>
        <x:v>95000</x:v>
      </x:c>
      <x:c r="L126" s="724" t="n">
        <x:f t="shared" si="23">L84</x:f>
        <x:v>139135.6</x:v>
      </x:c>
      <x:c r="M126" s="724" t="n">
        <x:f t="shared" si="23">M84</x:f>
        <x:v>9135.6</x:v>
      </x:c>
      <x:c r="N126" s="724" t="n">
        <x:f t="shared" si="23">N84</x:f>
        <x:v>149135.6</x:v>
      </x:c>
      <x:c r="O126" s="724" t="n">
        <x:f t="shared" si="23">O84</x:f>
        <x:v>144567.8</x:v>
      </x:c>
      <x:c r="P126" s="724" t="n">
        <x:f t="shared" si="23">P84</x:f>
        <x:v>140000</x:v>
      </x:c>
      <x:c r="Q126" s="724" t="n">
        <x:f t="shared" si="23">Q84</x:f>
        <x:v>70000</x:v>
      </x:c>
      <x:c r="R126" s="724" t="n">
        <x:f t="shared" si="23">R84</x:f>
        <x:v>0</x:v>
      </x:c>
      <x:c r="S126" s="724" t="n">
        <x:f t="shared" si="23">S84</x:f>
        <x:v>0</x:v>
      </x:c>
      <x:c r="T126" s="184"/>
      <x:c r="U126" s="192" t="s">
        <x:v>147</x:v>
      </x:c>
      <x:c r="V126" s="51"/>
      <x:c r="W126" s="34"/>
      <x:c r="X126" s="33"/>
      <x:c r="Y126" s="33"/>
      <x:c r="Z126" s="33"/>
      <x:c r="AA126" s="33"/>
      <x:c r="AB126" s="33"/>
      <x:c r="AC126" s="33"/>
      <x:c r="AD126" s="33"/>
    </x:row>
    <x:row r="127" ht="15" customHeight="1">
      <x:c r="A127" s="59"/>
      <x:c r="B127" s="116"/>
      <x:c r="C127" s="159"/>
      <x:c r="D127" s="35"/>
      <x:c r="E127" s="56"/>
      <x:c r="F127" s="56"/>
      <x:c r="G127" s="360" t="s">
        <x:v>148</x:v>
      </x:c>
      <x:c r="H127" s="361"/>
      <x:c r="I127" s="722" t="n">
        <x:f>SUM(J127:S127)</x:f>
        <x:v>6370000</x:v>
      </x:c>
      <x:c r="J127" s="724" t="n">
        <x:f t="shared" ref="J127:S127" si="24">J119</x:f>
        <x:v>0</x:v>
      </x:c>
      <x:c r="K127" s="724" t="n">
        <x:f t="shared" si="24">K119</x:f>
        <x:v>530000</x:v>
      </x:c>
      <x:c r="L127" s="724" t="n">
        <x:f t="shared" si="24">L119</x:f>
        <x:v>730000</x:v>
      </x:c>
      <x:c r="M127" s="724" t="n">
        <x:f t="shared" si="24">M119</x:f>
        <x:v>730000</x:v>
      </x:c>
      <x:c r="N127" s="724" t="n">
        <x:f t="shared" si="24">N119</x:f>
        <x:v>730000</x:v>
      </x:c>
      <x:c r="O127" s="724" t="n">
        <x:f t="shared" si="24">O119</x:f>
        <x:v>730000</x:v>
      </x:c>
      <x:c r="P127" s="724" t="n">
        <x:f t="shared" si="24">P119</x:f>
        <x:v>730000</x:v>
      </x:c>
      <x:c r="Q127" s="724" t="n">
        <x:f t="shared" si="24">Q119</x:f>
        <x:v>730000</x:v>
      </x:c>
      <x:c r="R127" s="724" t="n">
        <x:f t="shared" si="24">R119</x:f>
        <x:v>730000</x:v>
      </x:c>
      <x:c r="S127" s="724" t="n">
        <x:f t="shared" si="24">S119</x:f>
        <x:v>730000</x:v>
      </x:c>
      <x:c r="T127" s="183"/>
      <x:c r="U127" s="192" t="s">
        <x:v>149</x:v>
      </x:c>
      <x:c r="V127" s="51"/>
    </x:row>
    <x:row r="128" ht="15" customHeight="1">
      <x:c r="A128" s="59"/>
      <x:c r="B128" s="116"/>
      <x:c r="C128" s="159"/>
      <x:c r="D128" s="35"/>
      <x:c r="E128" s="56"/>
      <x:c r="F128" s="56"/>
      <x:c r="G128" s="164" t="s">
        <x:v>150</x:v>
      </x:c>
      <x:c r="H128" s="165"/>
      <x:c r="I128" s="725" t="n">
        <x:f>SUM(J128:S128)</x:f>
        <x:v>4833025.4</x:v>
      </x:c>
      <x:c r="J128" s="726" t="n">
        <x:f t="shared" ref="J128:S128" si="25">J127-J126-J125</x:f>
        <x:v>-115000</x:v>
      </x:c>
      <x:c r="K128" s="727" t="n">
        <x:f t="shared" si="25">K127-K126-K125</x:f>
        <x:v>360000</x:v>
      </x:c>
      <x:c r="L128" s="727" t="n">
        <x:f t="shared" si="25">L127-L126-L125</x:f>
        <x:v>515864.4</x:v>
      </x:c>
      <x:c r="M128" s="727" t="n">
        <x:f t="shared" si="25">M127-M126-M125</x:f>
        <x:v>645864.4</x:v>
      </x:c>
      <x:c r="N128" s="727" t="n">
        <x:f t="shared" si="25">N127-N126-N125</x:f>
        <x:v>505864.4</x:v>
      </x:c>
      <x:c r="O128" s="727" t="n">
        <x:f t="shared" si="25">O127-O126-O125</x:f>
        <x:v>510432.19999999995</x:v>
      </x:c>
      <x:c r="P128" s="727" t="n">
        <x:f t="shared" si="25">P127-P126-P125</x:f>
        <x:v>515000</x:v>
      </x:c>
      <x:c r="Q128" s="727" t="n">
        <x:f t="shared" si="25">Q127-Q126-Q125</x:f>
        <x:v>585000</x:v>
      </x:c>
      <x:c r="R128" s="727" t="n">
        <x:f t="shared" si="25">R127-R126-R125</x:f>
        <x:v>655000</x:v>
      </x:c>
      <x:c r="S128" s="727" t="n">
        <x:f t="shared" si="25">S127-S126-S125</x:f>
        <x:v>655000</x:v>
      </x:c>
      <x:c r="T128" s="185"/>
      <x:c r="U128" s="192" t="s">
        <x:v>151</x:v>
      </x:c>
      <x:c r="V128" s="51"/>
    </x:row>
    <x:row r="129" ht="15" customHeight="1">
      <x:c r="A129" s="59"/>
      <x:c r="B129" s="116"/>
      <x:c r="C129" s="159"/>
      <x:c r="D129" s="35"/>
      <x:c r="E129" s="56"/>
      <x:c r="F129" s="56"/>
      <x:c r="G129" s="162" t="s">
        <x:v>152</x:v>
      </x:c>
      <x:c r="H129" s="163"/>
      <x:c r="I129" s="722" t="n">
        <x:f>SUM(J129:S129)</x:f>
        <x:v>-1301953.5817057646</x:v>
      </x:c>
      <x:c r="J129" s="723" t="n">
        <x:f>J128*-Summary!$J$44</x:f>
        <x:v>30979.489968367</x:v>
      </x:c>
      <x:c r="K129" s="724" t="n">
        <x:f>K128*-Summary!$J$44</x:f>
        <x:v>-96979.27294445322</x:v>
      </x:c>
      <x:c r="L129" s="724" t="n">
        <x:f>L128*-Summary!$J$44</x:f>
        <x:v>-138967.09569424053</x:v>
      </x:c>
      <x:c r="M129" s="724" t="n">
        <x:f>M128*-Summary!$J$44</x:f>
        <x:v>-173987.38870195975</x:v>
      </x:c>
      <x:c r="N129" s="724" t="n">
        <x:f>N128*-Summary!$J$44</x:f>
        <x:v>-136273.22700133905</x:v>
      </x:c>
      <x:c r="O129" s="724" t="n">
        <x:f>O128*-Summary!$J$44</x:f>
        <x:v>-137503.73234288258</x:v>
      </x:c>
      <x:c r="P129" s="724" t="n">
        <x:f>P128*-Summary!$J$44</x:f>
        <x:v>-138734.23768442613</x:v>
      </x:c>
      <x:c r="Q129" s="724" t="n">
        <x:f>Q128*-Summary!$J$44</x:f>
        <x:v>-157591.31853473646</x:v>
      </x:c>
      <x:c r="R129" s="724" t="n">
        <x:f>R128*-Summary!$J$44</x:f>
        <x:v>-176448.39938504683</x:v>
      </x:c>
      <x:c r="S129" s="724" t="n">
        <x:f>S128*-Summary!$J$44</x:f>
        <x:v>-176448.39938504683</x:v>
      </x:c>
      <x:c r="T129" s="184"/>
      <x:c r="U129" s="192" t="s">
        <x:v>153</x:v>
      </x:c>
      <x:c r="V129" s="51"/>
    </x:row>
    <x:row r="130" ht="15" customHeight="1">
      <x:c r="A130" s="59"/>
      <x:c r="B130" s="116"/>
      <x:c r="C130" s="159"/>
      <x:c r="D130" s="35"/>
      <x:c r="E130" s="56"/>
      <x:c r="F130" s="56"/>
      <x:c r="G130" s="164" t="s">
        <x:v>154</x:v>
      </x:c>
      <x:c r="H130" s="165"/>
      <x:c r="I130" s="725" t="n">
        <x:f t="shared" ref="I130:I147" si="26">SUM(J130:S130)</x:f>
        <x:v>3531071.818294236</x:v>
      </x:c>
      <x:c r="J130" s="726" t="n">
        <x:f t="shared" ref="J130:S130" si="27">J128+J129</x:f>
        <x:v>-84020.51003163299</x:v>
      </x:c>
      <x:c r="K130" s="727" t="n">
        <x:f t="shared" si="27">K128+K129</x:f>
        <x:v>263020.72705554677</x:v>
      </x:c>
      <x:c r="L130" s="727" t="n">
        <x:f t="shared" si="27">L128+L129</x:f>
        <x:v>376897.3043057595</x:v>
      </x:c>
      <x:c r="M130" s="727" t="n">
        <x:f t="shared" si="27">M128+M129</x:f>
        <x:v>471877.0112980403</x:v>
      </x:c>
      <x:c r="N130" s="727" t="n">
        <x:f t="shared" si="27">N128+N129</x:f>
        <x:v>369591.17299866094</x:v>
      </x:c>
      <x:c r="O130" s="727" t="n">
        <x:f t="shared" si="27">O128+O129</x:f>
        <x:v>372928.4676571174</x:v>
      </x:c>
      <x:c r="P130" s="727" t="n">
        <x:f t="shared" si="27">P128+P129</x:f>
        <x:v>376265.76231557387</x:v>
      </x:c>
      <x:c r="Q130" s="727" t="n">
        <x:f t="shared" si="27">Q128+Q129</x:f>
        <x:v>427408.68146526354</x:v>
      </x:c>
      <x:c r="R130" s="727" t="n">
        <x:f t="shared" si="27">R128+R129</x:f>
        <x:v>478551.6006149532</x:v>
      </x:c>
      <x:c r="S130" s="727" t="n">
        <x:f t="shared" si="27">S128+S129</x:f>
        <x:v>478551.6006149532</x:v>
      </x:c>
      <x:c r="T130" s="186"/>
      <x:c r="U130" s="192" t="s">
        <x:v>155</x:v>
      </x:c>
      <x:c r="V130" s="51"/>
    </x:row>
    <x:row r="131" ht="15" customHeight="1">
      <x:c r="A131" s="59"/>
      <x:c r="B131" s="116"/>
      <x:c r="C131" s="159"/>
      <x:c r="D131" s="35"/>
      <x:c r="E131" s="56"/>
      <x:c r="F131" s="56"/>
      <x:c r="G131" s="160" t="s">
        <x:v>156</x:v>
      </x:c>
      <x:c r="H131" s="161"/>
      <x:c r="I131" s="728" t="n">
        <x:f t="shared" si="26">SUM(J131:S131)</x:f>
        <x:v>1951110.2</x:v>
      </x:c>
      <x:c r="J131" s="728" t="n">
        <x:f>J56</x:f>
        <x:v>135000</x:v>
      </x:c>
      <x:c r="K131" s="729" t="n">
        <x:f>K56+K59</x:f>
        <x:v>690000</x:v>
      </x:c>
      <x:c r="L131" s="729" t="n">
        <x:f>L56+L59+L62</x:f>
        <x:v>477839</x:v>
      </x:c>
      <x:c r="M131" s="729" t="n">
        <x:f>M56+M59+M62+M65</x:f>
        <x:v>13703.4</x:v>
      </x:c>
      <x:c r="N131" s="729" t="n">
        <x:f>N56+N59+N62+N65+N68</x:f>
        <x:v>354567.8</x:v>
      </x:c>
      <x:c r="O131" s="729" t="n">
        <x:f>O56+O59+O62+O65+O68+O71</x:f>
        <x:v>210000</x:v>
      </x:c>
      <x:c r="P131" s="729" t="n">
        <x:f>P56+P59+P62+P65+P68+P71+P74</x:f>
        <x:v>70000</x:v>
      </x:c>
      <x:c r="Q131" s="729" t="n">
        <x:f>Q56+Q59+Q62+Q65+Q68+Q71+Q74+Q77</x:f>
        <x:v>0</x:v>
      </x:c>
      <x:c r="R131" s="729" t="n">
        <x:f>R56+R59+R62+R65+R68+R71+R74+R77+R80</x:f>
        <x:v>0</x:v>
      </x:c>
      <x:c r="S131" s="729" t="n">
        <x:f>S56+S59+S62+S65+S68+S71+S74+S77+S80+S83</x:f>
        <x:v>0</x:v>
      </x:c>
      <x:c r="T131" s="184"/>
      <x:c r="U131" s="192" t="s">
        <x:v>157</x:v>
      </x:c>
      <x:c r="V131" s="51"/>
    </x:row>
    <x:row r="132" ht="15" customHeight="1">
      <x:c r="A132" s="59"/>
      <x:c r="B132" s="116"/>
      <x:c r="C132" s="159"/>
      <x:c r="D132" s="35"/>
      <x:c r="E132" s="56"/>
      <x:c r="F132" s="56"/>
      <x:c r="G132" s="166" t="s">
        <x:v>95</x:v>
      </x:c>
      <x:c r="H132" s="167"/>
      <x:c r="I132" s="730" t="n">
        <x:f t="shared" si="26">SUM(J132:S132)</x:f>
        <x:v>-113368.13608104577</x:v>
      </x:c>
      <x:c r="J132" s="730" t="n">
        <x:f>-J131*Summary!$L$44</x:f>
        <x:v>-7844.097361051763</x:v>
      </x:c>
      <x:c r="K132" s="731" t="n">
        <x:f>-K131*Summary!$L$44</x:f>
        <x:v>-40092.05317870901</x:v>
      </x:c>
      <x:c r="L132" s="731" t="n">
        <x:f>-L131*Summary!$L$44</x:f>
        <x:v>-27764.560288204542</x:v>
      </x:c>
      <x:c r="M132" s="731" t="n">
        <x:f>-M131*Summary!$L$44</x:f>
        <x:v>-796.2281761291609</x:v>
      </x:c>
      <x:c r="N132" s="731" t="n">
        <x:f>-N131*Summary!$L$44</x:f>
        <x:v>-20601.958105880956</x:v>
      </x:c>
      <x:c r="O132" s="731" t="n">
        <x:f>-O131*Summary!$L$44</x:f>
        <x:v>-12201.929228302743</x:v>
      </x:c>
      <x:c r="P132" s="731" t="n">
        <x:f>-P131*Summary!$L$44</x:f>
        <x:v>-4067.3097427675807</x:v>
      </x:c>
      <x:c r="Q132" s="731" t="n">
        <x:f>-Q131*Summary!$L$44</x:f>
        <x:v>0</x:v>
      </x:c>
      <x:c r="R132" s="731" t="n">
        <x:f>-R131*Summary!$L$44</x:f>
        <x:v>0</x:v>
      </x:c>
      <x:c r="S132" s="731" t="n">
        <x:f>-S131*Summary!$L$44</x:f>
        <x:v>0</x:v>
      </x:c>
      <x:c r="T132" s="184"/>
      <x:c r="U132" s="192" t="s">
        <x:v>158</x:v>
      </x:c>
      <x:c r="V132" s="51"/>
    </x:row>
    <x:row r="133" ht="15" customHeight="1">
      <x:c r="A133" s="59"/>
      <x:c r="B133" s="116"/>
      <x:c r="C133" s="159"/>
      <x:c r="D133" s="35"/>
      <x:c r="E133" s="56"/>
      <x:c r="F133" s="56"/>
      <x:c r="G133" s="164" t="s">
        <x:v>159</x:v>
      </x:c>
      <x:c r="H133" s="165"/>
      <x:c r="I133" s="725" t="n">
        <x:f t="shared" si="26">SUM(J133:S133)</x:f>
        <x:v>3417703.68221319</x:v>
      </x:c>
      <x:c r="J133" s="726" t="n">
        <x:f t="shared" ref="J133:S133" si="28">J130+J132</x:f>
        <x:v>-91864.60739268476</x:v>
      </x:c>
      <x:c r="K133" s="727" t="n">
        <x:f t="shared" si="28">K130+K132</x:f>
        <x:v>222928.67387683777</x:v>
      </x:c>
      <x:c r="L133" s="727" t="n">
        <x:f t="shared" si="28">L130+L132</x:f>
        <x:v>349132.744017555</x:v>
      </x:c>
      <x:c r="M133" s="727" t="n">
        <x:f t="shared" si="28">M130+M132</x:f>
        <x:v>471080.7831219111</x:v>
      </x:c>
      <x:c r="N133" s="727" t="n">
        <x:f t="shared" si="28">N130+N132</x:f>
        <x:v>348989.21489278</x:v>
      </x:c>
      <x:c r="O133" s="727" t="n">
        <x:f t="shared" si="28">O130+O132</x:f>
        <x:v>360726.5384288147</x:v>
      </x:c>
      <x:c r="P133" s="727" t="n">
        <x:f t="shared" si="28">P130+P132</x:f>
        <x:v>372198.4525728063</x:v>
      </x:c>
      <x:c r="Q133" s="727" t="n">
        <x:f t="shared" si="28">Q130+Q132</x:f>
        <x:v>427408.68146526354</x:v>
      </x:c>
      <x:c r="R133" s="727" t="n">
        <x:f t="shared" si="28">R130+R132</x:f>
        <x:v>478551.6006149532</x:v>
      </x:c>
      <x:c r="S133" s="727" t="n">
        <x:f t="shared" si="28">S130+S132</x:f>
        <x:v>478551.6006149532</x:v>
      </x:c>
      <x:c r="T133" s="186"/>
      <x:c r="U133" s="192" t="s">
        <x:v>160</x:v>
      </x:c>
      <x:c r="V133" s="51"/>
    </x:row>
    <x:row r="134" ht="15" customHeight="1">
      <x:c r="A134" s="59"/>
      <x:c r="B134" s="116"/>
      <x:c r="C134" s="159"/>
      <x:c r="D134" s="35"/>
      <x:c r="E134" s="56"/>
      <x:c r="F134" s="56"/>
      <x:c r="G134" s="179"/>
      <x:c r="H134" s="179"/>
      <x:c r="I134" s="732"/>
      <x:c r="J134" s="733"/>
      <x:c r="K134" s="733"/>
      <x:c r="L134" s="733"/>
      <x:c r="M134" s="733"/>
      <x:c r="N134" s="733"/>
      <x:c r="O134" s="733"/>
      <x:c r="P134" s="733"/>
      <x:c r="Q134" s="733"/>
      <x:c r="R134" s="733"/>
      <x:c r="S134" s="733"/>
      <x:c r="T134" s="186"/>
      <x:c r="U134" s="181"/>
      <x:c r="V134" s="51"/>
    </x:row>
    <x:row r="135" ht="15" customHeight="1">
      <x:c r="A135" s="59"/>
      <x:c r="B135" s="116"/>
      <x:c r="C135" s="127" t="s">
        <x:v>161</x:v>
      </x:c>
      <x:c r="D135" s="128"/>
      <x:c r="E135" s="128"/>
      <x:c r="F135" s="128"/>
      <x:c r="G135" s="128"/>
      <x:c r="H135" s="128"/>
      <x:c r="I135" s="718" t="n">
        <x:f t="shared" si="26">SUM(J135:S135)</x:f>
        <x:v>2524205.398359764</x:v>
      </x:c>
      <x:c r="J135" s="718" t="n">
        <x:f>J133/(1+Summary!$L$44)^0</x:f>
        <x:v>-91864.60739268476</x:v>
      </x:c>
      <x:c r="K135" s="718" t="n">
        <x:f>K133/(1+Summary!$L$44)^1</x:f>
        <x:v>210686.83641371786</x:v>
      </x:c>
      <x:c r="L135" s="718" t="n">
        <x:f>L133/(1+Summary!$L$44)^2</x:f>
        <x:v>311841.2198536183</x:v>
      </x:c>
      <x:c r="M135" s="718" t="n">
        <x:f>M133/(1+Summary!$L$44)^3</x:f>
        <x:v>397658.06658216746</x:v>
      </x:c>
      <x:c r="N135" s="718" t="n">
        <x:f>N133/(1+Summary!$L$44)^4</x:f>
        <x:v>278418.36804444954</x:v>
      </x:c>
      <x:c r="O135" s="718" t="n">
        <x:f>O133/(1+Summary!$L$44)^5</x:f>
        <x:v>271979.04306400084</x:v>
      </x:c>
      <x:c r="P135" s="718" t="n">
        <x:f>P133/(1+Summary!$L$44)^6</x:f>
        <x:v>265218.23453153175</x:v>
      </x:c>
      <x:c r="Q135" s="718" t="n">
        <x:f>Q133/(1+Summary!$L$44)^7</x:f>
        <x:v>287835.0154681486</x:v>
      </x:c>
      <x:c r="R135" s="718" t="n">
        <x:f>R133/(1+Summary!$L$44)^8</x:f>
        <x:v>304579.4012460559</x:v>
      </x:c>
      <x:c r="S135" s="718" t="n">
        <x:f>S133/(1+Summary!$L$44)^9</x:f>
        <x:v>287853.8205487582</x:v>
      </x:c>
      <x:c r="T135" s="187"/>
      <x:c r="U135" s="181"/>
      <x:c r="V135" s="51"/>
    </x:row>
    <x:row r="136" ht="15" customHeight="1">
      <x:c r="A136" s="59"/>
      <x:c r="B136" s="116"/>
      <x:c r="C136" s="308" t="s">
        <x:v>162</x:v>
      </x:c>
      <x:c r="D136" s="35"/>
      <x:c r="E136" s="35"/>
      <x:c r="F136" s="35"/>
      <x:c r="G136" s="35"/>
      <x:c r="H136" s="35"/>
      <x:c r="I136" s="734" t="n">
        <x:f>I135</x:f>
        <x:v>2524205.398359764</x:v>
      </x:c>
      <x:c r="J136" s="734" t="n">
        <x:f>J135</x:f>
        <x:v>-91864.60739268476</x:v>
      </x:c>
      <x:c r="K136" s="734" t="n">
        <x:f t="shared" ref="K136:S136" si="29">J136+K135</x:f>
        <x:v>118822.2290210331</x:v>
      </x:c>
      <x:c r="L136" s="734" t="n">
        <x:f t="shared" si="29">K136+L135</x:f>
        <x:v>430663.4488746514</x:v>
      </x:c>
      <x:c r="M136" s="734" t="n">
        <x:f t="shared" si="29">L136+M135</x:f>
        <x:v>828321.5154568189</x:v>
      </x:c>
      <x:c r="N136" s="734" t="n">
        <x:f t="shared" si="29">M136+N135</x:f>
        <x:v>1106739.8835012685</x:v>
      </x:c>
      <x:c r="O136" s="734" t="n">
        <x:f t="shared" si="29">N136+O135</x:f>
        <x:v>1378718.9265652692</x:v>
      </x:c>
      <x:c r="P136" s="734" t="n">
        <x:f t="shared" si="29">O136+P135</x:f>
        <x:v>1643937.161096801</x:v>
      </x:c>
      <x:c r="Q136" s="734" t="n">
        <x:f t="shared" si="29">P136+Q135</x:f>
        <x:v>1931772.1765649496</x:v>
      </x:c>
      <x:c r="R136" s="734" t="n">
        <x:f t="shared" si="29">Q136+R135</x:f>
        <x:v>2236351.5778110055</x:v>
      </x:c>
      <x:c r="S136" s="734" t="n">
        <x:f t="shared" si="29">R136+S135</x:f>
        <x:v>2524205.398359764</x:v>
      </x:c>
      <x:c r="T136" s="144"/>
      <x:c r="U136" s="181"/>
      <x:c r="V136" s="51"/>
    </x:row>
    <x:row r="137" ht="15" customHeight="1">
      <x:c r="A137" s="59"/>
      <x:c r="B137" s="116"/>
      <x:c r="C137" s="309"/>
      <x:c r="D137" s="35"/>
      <x:c r="E137" s="35"/>
      <x:c r="F137" s="35"/>
      <x:c r="G137" s="35"/>
      <x:c r="H137" s="35"/>
      <x:c r="I137" s="734"/>
      <x:c r="J137" s="734"/>
      <x:c r="K137" s="734"/>
      <x:c r="L137" s="734"/>
      <x:c r="M137" s="734"/>
      <x:c r="N137" s="734"/>
      <x:c r="O137" s="734"/>
      <x:c r="P137" s="734"/>
      <x:c r="Q137" s="734"/>
      <x:c r="R137" s="734"/>
      <x:c r="S137" s="734"/>
      <x:c r="T137" s="144"/>
      <x:c r="U137" s="181"/>
      <x:c r="V137" s="51"/>
    </x:row>
    <x:row r="138" ht="15" customHeight="1">
      <x:c r="A138" s="59"/>
      <x:c r="B138" s="116"/>
      <x:c r="C138" s="127" t="s">
        <x:v>163</x:v>
      </x:c>
      <x:c r="D138" s="310"/>
      <x:c r="E138" s="310"/>
      <x:c r="F138" s="310"/>
      <x:c r="G138" s="310"/>
      <x:c r="H138" s="310"/>
      <x:c r="I138" s="718" t="n">
        <x:f t="shared" si="26">SUM(J138:S138)</x:f>
        <x:v>2435594.180354934</x:v>
      </x:c>
      <x:c r="J138" s="718" t="n">
        <x:f>(-J26-J50+J129+J127)/(1+Summary!$L$44)^0</x:f>
        <x:v>-869020.510031633</x:v>
      </x:c>
      <x:c r="K138" s="718" t="n">
        <x:f>(-K26-K50+K129+K127)/(1+Summary!$L$44)^1</x:f>
        <x:v>338360.48563024035</x:v>
      </x:c>
      <x:c r="L138" s="718" t="n">
        <x:f>(-L26-L50+L129+L127)/(1+Summary!$L$44)^2</x:f>
        <x:v>460914.4605331609</x:v>
      </x:c>
      <x:c r="M138" s="718" t="n">
        <x:f>(-M26-M50+M129+M127)/(1+Summary!$L$44)^3</x:f>
        <x:v>406041.9186339794</x:v>
      </x:c>
      <x:c r="N138" s="718" t="n">
        <x:f>(-N26-N50+N129+N127)/(1+Summary!$L$44)^4</x:f>
        <x:v>413832.4493598518</x:v>
      </x:c>
      <x:c r="O138" s="718" t="n">
        <x:f>(-O26-O50+O129+O127)/(1+Summary!$L$44)^5</x:f>
        <x:v>390179.6088516784</x:v>
      </x:c>
      <x:c r="P138" s="718" t="n">
        <x:f>(-P26-P50+P129+P127)/(1+Summary!$L$44)^6</x:f>
        <x:v>367876.58058204356</x:v>
      </x:c>
      <x:c r="Q138" s="718" t="n">
        <x:f>(-Q26-Q50+Q129+Q127)/(1+Summary!$L$44)^7</x:f>
        <x:v>334975.9650007984</x:v>
      </x:c>
      <x:c r="R138" s="718" t="n">
        <x:f>(-R26-R50+R129+R127)/(1+Summary!$L$44)^8</x:f>
        <x:v>304579.4012460559</x:v>
      </x:c>
      <x:c r="S138" s="718" t="n">
        <x:f>(-S26-S50+S129+S127)/(1+Summary!$L$44)^9</x:f>
        <x:v>287853.8205487582</x:v>
      </x:c>
      <x:c r="T138" s="144"/>
      <x:c r="U138" s="181"/>
      <x:c r="V138" s="51"/>
    </x:row>
    <x:row r="139" ht="15" customHeight="1">
      <x:c r="A139" s="59"/>
      <x:c r="B139" s="116"/>
      <x:c r="C139" s="308" t="s">
        <x:v>164</x:v>
      </x:c>
      <x:c r="D139" s="35"/>
      <x:c r="E139" s="35"/>
      <x:c r="F139" s="35"/>
      <x:c r="G139" s="35"/>
      <x:c r="H139" s="35"/>
      <x:c r="I139" s="734" t="n">
        <x:f>I138</x:f>
        <x:v>2435594.180354934</x:v>
      </x:c>
      <x:c r="J139" s="734" t="n">
        <x:f>J138</x:f>
        <x:v>-869020.510031633</x:v>
      </x:c>
      <x:c r="K139" s="734" t="n">
        <x:f t="shared" ref="K139:S139" si="30">J139+K138</x:f>
        <x:v>-530660.0244013926</x:v>
      </x:c>
      <x:c r="L139" s="734" t="n">
        <x:f t="shared" si="30">K139+L138</x:f>
        <x:v>-69745.56386823166</x:v>
      </x:c>
      <x:c r="M139" s="734" t="n">
        <x:f t="shared" si="30">L139+M138</x:f>
        <x:v>336296.35476574773</x:v>
      </x:c>
      <x:c r="N139" s="734" t="n">
        <x:f t="shared" si="30">M139+N138</x:f>
        <x:v>750128.8041255996</x:v>
      </x:c>
      <x:c r="O139" s="734" t="n">
        <x:f t="shared" si="30">N139+O138</x:f>
        <x:v>1140308.412977278</x:v>
      </x:c>
      <x:c r="P139" s="734" t="n">
        <x:f t="shared" si="30">O139+P138</x:f>
        <x:v>1508184.9935593216</x:v>
      </x:c>
      <x:c r="Q139" s="734" t="n">
        <x:f t="shared" si="30">P139+Q138</x:f>
        <x:v>1843160.95856012</x:v>
      </x:c>
      <x:c r="R139" s="734" t="n">
        <x:f t="shared" si="30">Q139+R138</x:f>
        <x:v>2147740.359806176</x:v>
      </x:c>
      <x:c r="S139" s="734" t="n">
        <x:f t="shared" si="30">R139+S138</x:f>
        <x:v>2435594.180354934</x:v>
      </x:c>
      <x:c r="T139" s="144"/>
      <x:c r="U139" s="181"/>
      <x:c r="V139" s="51"/>
    </x:row>
    <x:row r="140" ht="15" customHeight="1">
      <x:c r="A140" s="59"/>
      <x:c r="B140" s="116"/>
      <x:c r="C140" s="159"/>
      <x:c r="D140" s="35"/>
      <x:c r="E140" s="35"/>
      <x:c r="F140" s="35"/>
      <x:c r="G140" s="35"/>
      <x:c r="H140" s="35"/>
      <x:c r="I140" s="35"/>
      <x:c r="J140" s="301" t="n">
        <x:f>IF(J124&lt;$Q$11,0,IF(J124=$Q$11,6,12))</x:f>
        <x:v>0</x:v>
      </x:c>
      <x:c r="K140" s="304" t="n">
        <x:f>IF(K124&lt;$Q$11,0,IF(K124=$Q$11,6,12))</x:f>
        <x:v>6</x:v>
      </x:c>
      <x:c r="L140" s="301" t="n">
        <x:f t="shared" ref="L140:S140" si="31">IF(L124&lt;$Q$11,0,IF(L124=$Q$11,6,12))</x:f>
        <x:v>12</x:v>
      </x:c>
      <x:c r="M140" s="301" t="n">
        <x:f t="shared" si="31">IF(M124&lt;$Q$11,0,IF(M124=$Q$11,6,12))</x:f>
        <x:v>12</x:v>
      </x:c>
      <x:c r="N140" s="301" t="n">
        <x:f t="shared" si="31">IF(N124&lt;$Q$11,0,IF(N124=$Q$11,6,12))</x:f>
        <x:v>12</x:v>
      </x:c>
      <x:c r="O140" s="301" t="n">
        <x:f t="shared" si="31">IF(O124&lt;$Q$11,0,IF(O124=$Q$11,6,12))</x:f>
        <x:v>12</x:v>
      </x:c>
      <x:c r="P140" s="301" t="n">
        <x:f t="shared" si="31">IF(P124&lt;$Q$11,0,IF(P124=$Q$11,6,12))</x:f>
        <x:v>12</x:v>
      </x:c>
      <x:c r="Q140" s="301" t="n">
        <x:f t="shared" si="31">IF(Q124&lt;$Q$11,0,IF(Q124=$Q$11,6,12))</x:f>
        <x:v>12</x:v>
      </x:c>
      <x:c r="R140" s="301" t="n">
        <x:f t="shared" si="31">IF(R124&lt;$Q$11,0,IF(R124=$Q$11,6,12))</x:f>
        <x:v>12</x:v>
      </x:c>
      <x:c r="S140" s="301" t="n">
        <x:f t="shared" si="31">IF(S124&lt;$Q$11,0,IF(S124=$Q$11,6,12))</x:f>
        <x:v>12</x:v>
      </x:c>
      <x:c r="T140" s="144"/>
      <x:c r="U140" s="181"/>
      <x:c r="V140" s="51"/>
    </x:row>
    <x:row r="141" ht="15" customHeight="1">
      <x:c r="A141" s="59"/>
      <x:c r="B141" s="116"/>
      <x:c r="C141" s="159" t="s">
        <x:v>165</x:v>
      </x:c>
      <x:c r="D141" s="35"/>
      <x:c r="E141" s="35"/>
      <x:c r="F141" s="35"/>
      <x:c r="G141" s="35"/>
      <x:c r="H141" s="35"/>
      <x:c r="I141" s="302" t="n">
        <x:f>IFERROR(SUM(J141:S141),"")</x:f>
        <x:v>20.061232419634077</x:v>
      </x:c>
      <x:c r="J141" s="302" t="n">
        <x:f>IFERROR(IF(I139&gt;0,0,IF(J139&lt;0,J140,I139/(-J138/12))),"")</x:f>
        <x:v>0</x:v>
      </x:c>
      <x:c r="K141" s="302" t="n">
        <x:f>IFERROR(IF(J139&gt;0,0,IF(K139&lt;0,K140,J139/(-K138/12))),"")</x:f>
        <x:v>6</x:v>
      </x:c>
      <x:c r="L141" s="302" t="n">
        <x:f t="shared" ref="L141:S141" si="32">IFERROR(IF(K139&gt;0,0,IF(L139&lt;0,L140,K139/(-L138/12))),"")</x:f>
        <x:v>12</x:v>
      </x:c>
      <x:c r="M141" s="302" t="n">
        <x:f t="shared" si="32">IFERROR(IF(L139&gt;0,0,IF(M139&lt;0,M140,L139/(-M138/12))),"")</x:f>
        <x:v>2.061232419634076</x:v>
      </x:c>
      <x:c r="N141" s="302" t="n">
        <x:f t="shared" si="32">IFERROR(IF(M139&gt;0,0,IF(N139&lt;0,N140,M139/(-N138/12))),"")</x:f>
        <x:v>0</x:v>
      </x:c>
      <x:c r="O141" s="302" t="n">
        <x:f t="shared" si="32">IFERROR(IF(N139&gt;0,0,IF(O139&lt;0,O140,N139/(-O138/12))),"")</x:f>
        <x:v>0</x:v>
      </x:c>
      <x:c r="P141" s="302" t="n">
        <x:f t="shared" si="32">IFERROR(IF(O139&gt;0,0,IF(P139&lt;0,P140,O139/(-P138/12))),"")</x:f>
        <x:v>0</x:v>
      </x:c>
      <x:c r="Q141" s="302" t="n">
        <x:f t="shared" si="32">IFERROR(IF(P139&gt;0,0,IF(Q139&lt;0,Q140,P139/(-Q138/12))),"")</x:f>
        <x:v>0</x:v>
      </x:c>
      <x:c r="R141" s="302" t="n">
        <x:f t="shared" si="32">IFERROR(IF(Q139&gt;0,0,IF(R139&lt;0,R140,Q139/(-R138/12))),"")</x:f>
        <x:v>0</x:v>
      </x:c>
      <x:c r="S141" s="302" t="n">
        <x:f t="shared" si="32">IFERROR(IF(R139&gt;0,0,IF(S139&lt;0,S140,R139/(-S138/12))),"")</x:f>
        <x:v>0</x:v>
      </x:c>
      <x:c r="T141" s="144"/>
      <x:c r="U141" s="181"/>
      <x:c r="V141" s="51"/>
    </x:row>
    <x:row r="142" ht="15" customHeight="1">
      <x:c r="A142" s="59"/>
      <x:c r="B142" s="116"/>
      <x:c r="C142" s="159" t="s">
        <x:v>166</x:v>
      </x:c>
      <x:c r="D142" s="35"/>
      <x:c r="E142" s="35"/>
      <x:c r="F142" s="35"/>
      <x:c r="G142" s="35"/>
      <x:c r="H142" s="35"/>
      <x:c r="I142" s="303" t="n">
        <x:f>IF(I141/12&gt;$J$28,"n/a",I141/12)</x:f>
        <x:v>1.6717693683028398</x:v>
      </x:c>
      <x:c r="J142" s="302"/>
      <x:c r="K142" s="302"/>
      <x:c r="L142" s="302"/>
      <x:c r="M142" s="302"/>
      <x:c r="N142" s="302"/>
      <x:c r="O142" s="302"/>
      <x:c r="P142" s="302"/>
      <x:c r="Q142" s="302"/>
      <x:c r="R142" s="302"/>
      <x:c r="S142" s="302"/>
      <x:c r="T142" s="144"/>
      <x:c r="U142" s="181"/>
      <x:c r="V142" s="51"/>
    </x:row>
    <x:row r="143" ht="15" customHeight="1">
      <x:c r="A143" s="59"/>
      <x:c r="B143" s="116"/>
      <x:c r="C143" s="159"/>
      <x:c r="D143" s="35"/>
      <x:c r="E143" s="35"/>
      <x:c r="F143" s="35"/>
      <x:c r="G143" s="35"/>
      <x:c r="H143" s="35"/>
      <x:c r="I143" s="303"/>
      <x:c r="J143" s="302"/>
      <x:c r="K143" s="302"/>
      <x:c r="L143" s="302"/>
      <x:c r="M143" s="302"/>
      <x:c r="N143" s="302"/>
      <x:c r="O143" s="302"/>
      <x:c r="P143" s="302"/>
      <x:c r="Q143" s="302"/>
      <x:c r="R143" s="302"/>
      <x:c r="S143" s="302"/>
      <x:c r="T143" s="144"/>
      <x:c r="U143" s="181"/>
      <x:c r="V143" s="51"/>
    </x:row>
    <x:row r="144" ht="15" hidden="1" customHeight="1">
      <x:c r="A144" s="59"/>
      <x:c r="B144" s="116"/>
      <x:c r="C144" s="300" t="s">
        <x:v>167</x:v>
      </x:c>
      <x:c r="D144" s="300"/>
      <x:c r="E144" s="35"/>
      <x:c r="F144" s="35"/>
      <x:c r="G144" s="35"/>
      <x:c r="H144" s="35"/>
      <x:c r="I144" s="306"/>
      <x:c r="J144" s="302"/>
      <x:c r="K144" s="302"/>
      <x:c r="L144" s="302"/>
      <x:c r="M144" s="302"/>
      <x:c r="N144" s="302"/>
      <x:c r="O144" s="302"/>
      <x:c r="P144" s="302"/>
      <x:c r="Q144" s="302"/>
      <x:c r="R144" s="302"/>
      <x:c r="S144" s="302"/>
      <x:c r="T144" s="144"/>
      <x:c r="U144" s="181"/>
      <x:c r="V144" s="51"/>
    </x:row>
    <x:row r="145" ht="15" hidden="1" customHeight="1">
      <x:c r="A145" s="59"/>
      <x:c r="B145" s="116"/>
      <x:c r="C145" s="159" t="s">
        <x:v>168</x:v>
      </x:c>
      <x:c r="D145" s="35"/>
      <x:c r="E145" s="35"/>
      <x:c r="F145" s="35"/>
      <x:c r="G145" s="35"/>
      <x:c r="H145" s="35"/>
      <x:c r="I145" s="307" t="n">
        <x:f>IFERROR(ROUNDDOWN(I142,0)+IF(ROUND((I142-ROUNDDOWN(I142,0))*12,0)=12,1,0),"")</x:f>
        <x:v>1</x:v>
      </x:c>
      <x:c r="J145" s="302"/>
      <x:c r="K145" s="302"/>
      <x:c r="L145" s="302"/>
      <x:c r="M145" s="302"/>
      <x:c r="N145" s="302"/>
      <x:c r="O145" s="302"/>
      <x:c r="P145" s="302"/>
      <x:c r="Q145" s="302"/>
      <x:c r="R145" s="302"/>
      <x:c r="S145" s="302"/>
      <x:c r="T145" s="144"/>
      <x:c r="U145" s="181"/>
      <x:c r="V145" s="51"/>
    </x:row>
    <x:row r="146" ht="15" hidden="1" customHeight="1">
      <x:c r="A146" s="59"/>
      <x:c r="B146" s="116"/>
      <x:c r="C146" s="159" t="s">
        <x:v>169</x:v>
      </x:c>
      <x:c r="D146" s="35"/>
      <x:c r="E146" s="35"/>
      <x:c r="F146" s="35"/>
      <x:c r="G146" s="35"/>
      <x:c r="H146" s="35"/>
      <x:c r="I146" s="305" t="n">
        <x:f>IFERROR(MOD(ROUND((I142-ROUNDDOWN(I142,0))*12,0),12),"")</x:f>
        <x:v>8</x:v>
      </x:c>
      <x:c r="J146" s="302"/>
      <x:c r="K146" s="302"/>
      <x:c r="L146" s="302"/>
      <x:c r="M146" s="302"/>
      <x:c r="N146" s="302"/>
      <x:c r="O146" s="302"/>
      <x:c r="P146" s="302"/>
      <x:c r="Q146" s="302"/>
      <x:c r="R146" s="302"/>
      <x:c r="S146" s="302"/>
      <x:c r="T146" s="144"/>
      <x:c r="U146" s="181"/>
      <x:c r="V146" s="51"/>
    </x:row>
    <x:row r="147" ht="15" customHeight="1">
      <x:c r="A147" s="59"/>
      <x:c r="B147" s="116"/>
      <x:c r="C147" s="127" t="s">
        <x:v>170</x:v>
      </x:c>
      <x:c r="D147" s="128"/>
      <x:c r="E147" s="128"/>
      <x:c r="F147" s="128"/>
      <x:c r="G147" s="128"/>
      <x:c r="H147" s="128"/>
      <x:c r="I147" s="718" t="n">
        <x:f t="shared" si="26">SUM(J147:S147)</x:f>
        <x:v>800000</x:v>
      </x:c>
      <x:c r="J147" s="718" t="n">
        <x:f>J26/(1+Summary!$L$44)^0</x:f>
        <x:v>800000</x:v>
      </x:c>
      <x:c r="K147" s="718" t="n">
        <x:f>K26/(1+Summary!$L$44)^1</x:f>
        <x:v>0</x:v>
      </x:c>
      <x:c r="L147" s="718" t="n">
        <x:f>L26/(1+Summary!$L$44)^2</x:f>
        <x:v>0</x:v>
      </x:c>
      <x:c r="M147" s="718" t="n">
        <x:f>M26/(1+Summary!$L$44)^3</x:f>
        <x:v>0</x:v>
      </x:c>
      <x:c r="N147" s="718" t="n">
        <x:f>N26/(1+Summary!$L$44)^4</x:f>
        <x:v>0</x:v>
      </x:c>
      <x:c r="O147" s="718" t="n">
        <x:f>O26/(1+Summary!$L$44)^5</x:f>
        <x:v>0</x:v>
      </x:c>
      <x:c r="P147" s="718" t="n">
        <x:f>P26/(1+Summary!$L$44)^6</x:f>
        <x:v>0</x:v>
      </x:c>
      <x:c r="Q147" s="718" t="n">
        <x:f>Q26/(1+Summary!$L$44)^7</x:f>
        <x:v>0</x:v>
      </x:c>
      <x:c r="R147" s="718" t="n">
        <x:f>R26/(1+Summary!$L$44)^8</x:f>
        <x:v>0</x:v>
      </x:c>
      <x:c r="S147" s="718" t="n">
        <x:f>S26/(1+Summary!$L$44)^9</x:f>
        <x:v>0</x:v>
      </x:c>
      <x:c r="T147" s="748" t="n">
        <x:f>I147</x:f>
        <x:v>800000</x:v>
      </x:c>
      <x:c r="U147" s="181"/>
      <x:c r="V147" s="51"/>
    </x:row>
    <x:row r="148">
      <x:c r="A148" s="59"/>
      <x:c r="B148" s="123"/>
      <x:c r="C148" s="138"/>
      <x:c r="D148" s="141"/>
      <x:c r="E148" s="141"/>
      <x:c r="F148" s="141"/>
      <x:c r="G148" s="141"/>
      <x:c r="H148" s="141"/>
      <x:c r="I148" s="141"/>
      <x:c r="J148" s="141"/>
      <x:c r="K148" s="141"/>
      <x:c r="L148" s="141"/>
      <x:c r="M148" s="141"/>
      <x:c r="N148" s="141"/>
      <x:c r="O148" s="141"/>
      <x:c r="P148" s="141"/>
      <x:c r="Q148" s="141"/>
      <x:c r="R148" s="141"/>
      <x:c r="S148" s="141"/>
      <x:c r="T148" s="189"/>
      <x:c r="U148" s="59"/>
    </x:row>
    <x:row r="149" ht="15.75">
      <x:c r="A149" s="59"/>
      <x:c r="B149" s="59"/>
      <x:c r="C149" s="190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60"/>
      <x:c r="U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60"/>
      <x:c r="U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60"/>
      <x:c r="U151" s="59"/>
    </x:row>
  </x:sheetData>
  <x:mergeCells>
    <x:mergeCell ref="T2:T3"/>
    <x:mergeCell ref="G111:H111"/>
    <x:mergeCell ref="G108:H108"/>
    <x:mergeCell ref="G105:I105"/>
    <x:mergeCell ref="E2:G3"/>
    <x:mergeCell ref="J2:N3"/>
    <x:mergeCell ref="G33:I33"/>
    <x:mergeCell ref="G36:I36"/>
    <x:mergeCell ref="G38:I38"/>
    <x:mergeCell ref="L10:N10"/>
    <x:mergeCell ref="K28:S28"/>
    <x:mergeCell ref="L9:N9"/>
    <x:mergeCell ref="L7:N7"/>
    <x:mergeCell ref="L8:N8"/>
    <x:mergeCell ref="L11:N11"/>
    <x:mergeCell ref="Q7:S7"/>
    <x:mergeCell ref="Q8:S8"/>
    <x:mergeCell ref="Q9:S9"/>
    <x:mergeCell ref="Q10:S10"/>
    <x:mergeCell ref="Q11:S11"/>
    <x:mergeCell ref="G55:I55"/>
    <x:mergeCell ref="G58:I58"/>
    <x:mergeCell ref="G61:I61"/>
    <x:mergeCell ref="G64:I64"/>
    <x:mergeCell ref="G18:I18"/>
    <x:mergeCell ref="G21:I21"/>
    <x:mergeCell ref="G23:I23"/>
    <x:mergeCell ref="G28:I28"/>
    <x:mergeCell ref="G42:I42"/>
    <x:mergeCell ref="G44:I44"/>
    <x:mergeCell ref="G46:I46"/>
    <x:mergeCell ref="G60:I60"/>
    <x:mergeCell ref="G40:I40"/>
    <x:mergeCell ref="G67:I67"/>
    <x:mergeCell ref="G70:I70"/>
    <x:mergeCell ref="G73:I73"/>
    <x:mergeCell ref="G76:I76"/>
    <x:mergeCell ref="G79:I79"/>
    <x:mergeCell ref="G109:H109"/>
    <x:mergeCell ref="G110:H110"/>
    <x:mergeCell ref="G82:I82"/>
    <x:mergeCell ref="G84:I84"/>
    <x:mergeCell ref="G93:I93"/>
    <x:mergeCell ref="G94:H94"/>
    <x:mergeCell ref="G98:H98"/>
    <x:mergeCell ref="G99:H99"/>
    <x:mergeCell ref="G106:H106"/>
    <x:mergeCell ref="G101:I101"/>
    <x:mergeCell ref="G95:H95"/>
    <x:mergeCell ref="G96:H96"/>
    <x:mergeCell ref="G97:H97"/>
    <x:mergeCell ref="G107:H107"/>
    <x:mergeCell ref="G125:H125"/>
    <x:mergeCell ref="G126:H126"/>
    <x:mergeCell ref="G127:H127"/>
    <x:mergeCell ref="G116:I116"/>
    <x:mergeCell ref="G113:I113"/>
    <x:mergeCell ref="G117:S117"/>
  </x:mergeCells>
  <x:conditionalFormatting sqref="L29:L29 K28:K28">
    <x:cfRule type="expression" dxfId="23" priority="96" stopIfTrue="1">
      <x:formula>$J$28&gt;5</x:formula>
    </x:cfRule>
  </x:conditionalFormatting>
  <x:conditionalFormatting sqref="L26:S26">
    <x:cfRule type="expression" dxfId="22" priority="110" stopIfTrue="1">
      <x:formula>L24&gt;#REF!</x:formula>
    </x:cfRule>
  </x:conditionalFormatting>
  <x:conditionalFormatting sqref="J19:S19">
    <x:cfRule type="expression" dxfId="21" priority="114" stopIfTrue="1">
      <x:formula>J$16&gt;$Q$11</x:formula>
    </x:cfRule>
  </x:conditionalFormatting>
  <x:conditionalFormatting sqref="J22:S22">
    <x:cfRule type="expression" dxfId="20" priority="24" stopIfTrue="1">
      <x:formula>J21&gt;#REF!</x:formula>
    </x:cfRule>
  </x:conditionalFormatting>
  <x:conditionalFormatting sqref="J24:S24">
    <x:cfRule type="expression" dxfId="19" priority="23" stopIfTrue="1">
      <x:formula>J23&gt;#REF!</x:formula>
    </x:cfRule>
  </x:conditionalFormatting>
  <x:conditionalFormatting sqref="J45:S45 J43:S43 J39:S39 J37:S37 J47:S48">
    <x:cfRule type="expression" dxfId="18" priority="22" stopIfTrue="1">
      <x:formula>J36&gt;#REF!</x:formula>
    </x:cfRule>
  </x:conditionalFormatting>
  <x:conditionalFormatting sqref="J94:S99">
    <x:cfRule type="expression" dxfId="17" priority="21" stopIfTrue="1">
      <x:formula>J93&gt;#REF!</x:formula>
    </x:cfRule>
  </x:conditionalFormatting>
  <x:conditionalFormatting sqref="J107:M107 J106:O106 J108:S111">
    <x:cfRule type="expression" dxfId="16" priority="20" stopIfTrue="1">
      <x:formula>J105&gt;#REF!</x:formula>
    </x:cfRule>
  </x:conditionalFormatting>
  <x:conditionalFormatting sqref="J133:S134">
    <x:cfRule type="expression" dxfId="15" priority="19" stopIfTrue="1">
      <x:formula>J132&gt;#REF!</x:formula>
    </x:cfRule>
  </x:conditionalFormatting>
  <x:conditionalFormatting sqref="J130:S130">
    <x:cfRule type="expression" dxfId="14" priority="18" stopIfTrue="1">
      <x:formula>J129&gt;#REF!</x:formula>
    </x:cfRule>
  </x:conditionalFormatting>
  <x:conditionalFormatting sqref="J128:S128">
    <x:cfRule type="expression" dxfId="13" priority="17" stopIfTrue="1">
      <x:formula>J127&gt;#REF!</x:formula>
    </x:cfRule>
  </x:conditionalFormatting>
  <x:conditionalFormatting sqref="I133:I134">
    <x:cfRule type="expression" dxfId="12" priority="13" stopIfTrue="1">
      <x:formula>I132&gt;#REF!</x:formula>
    </x:cfRule>
  </x:conditionalFormatting>
  <x:conditionalFormatting sqref="I130:I130">
    <x:cfRule type="expression" dxfId="11" priority="12" stopIfTrue="1">
      <x:formula>I129&gt;#REF!</x:formula>
    </x:cfRule>
  </x:conditionalFormatting>
  <x:conditionalFormatting sqref="I128:I128">
    <x:cfRule type="expression" dxfId="10" priority="11" stopIfTrue="1">
      <x:formula>I127&gt;#REF!</x:formula>
    </x:cfRule>
  </x:conditionalFormatting>
  <x:conditionalFormatting sqref="N107:S107 P106:S106">
    <x:cfRule type="expression" dxfId="9" priority="10" stopIfTrue="1">
      <x:formula>N105&gt;#REF!</x:formula>
    </x:cfRule>
  </x:conditionalFormatting>
  <x:conditionalFormatting sqref="J20:S20">
    <x:cfRule type="expression" dxfId="8" priority="9" stopIfTrue="1">
      <x:formula>J$16&gt;$Q$11</x:formula>
    </x:cfRule>
  </x:conditionalFormatting>
  <x:conditionalFormatting sqref="J34:S34">
    <x:cfRule type="expression" dxfId="7" priority="8" stopIfTrue="1">
      <x:formula>J$16&gt;$Q$11</x:formula>
    </x:cfRule>
  </x:conditionalFormatting>
  <x:conditionalFormatting sqref="J35:S35">
    <x:cfRule type="expression" dxfId="6" priority="7" stopIfTrue="1">
      <x:formula>J$16&gt;$Q$11</x:formula>
    </x:cfRule>
  </x:conditionalFormatting>
  <x:conditionalFormatting sqref="L8:N8">
    <x:cfRule type="cellIs" dxfId="5" priority="6" operator="equal">
      <x:formula>0</x:formula>
    </x:cfRule>
  </x:conditionalFormatting>
  <x:conditionalFormatting sqref="L9:N9">
    <x:cfRule type="cellIs" dxfId="4" priority="5" operator="equal">
      <x:formula>0</x:formula>
    </x:cfRule>
  </x:conditionalFormatting>
  <x:conditionalFormatting sqref="L11:N11">
    <x:cfRule type="cellIs" dxfId="3" priority="4" operator="equal">
      <x:formula>0</x:formula>
    </x:cfRule>
  </x:conditionalFormatting>
  <x:conditionalFormatting sqref="Q7:S7">
    <x:cfRule type="cellIs" dxfId="2" priority="3" operator="equal">
      <x:formula>0</x:formula>
    </x:cfRule>
  </x:conditionalFormatting>
  <x:conditionalFormatting sqref="Q8:S8">
    <x:cfRule type="cellIs" dxfId="1" priority="2" operator="equal">
      <x:formula>0</x:formula>
    </x:cfRule>
  </x:conditionalFormatting>
  <x:conditionalFormatting sqref="J41:S41">
    <x:cfRule type="expression" dxfId="0" priority="1" stopIfTrue="1">
      <x:formula>J40&gt;#REF!</x:formula>
    </x:cfRule>
  </x:conditionalFormatting>
  <x:dataValidations count="1">
    <x:dataValidation type="list" operator="greaterThan" allowBlank="1" showInputMessage="1" showErrorMessage="1" sqref="J28:J29">
      <x:formula1>"1,2,3,4,5,6,7,8,9,10,11,12"</x:formula1>
    </x:dataValidation>
  </x:dataValidations>
  <x:pageMargins left="0.7" right="0.7" top="0.75" bottom="0.75" header="0.3" footer="0.3"/>
  <x:drawing xmlns:r="http://schemas.openxmlformats.org/officeDocument/2006/relationships" r:id="R3ed646f45054473c"/>
</x:worksheet>
</file>

<file path=xl/worksheets/sheet5.xml><?xml version="1.0" encoding="utf-8"?>
<x:worksheet xmlns:x="http://schemas.openxmlformats.org/spreadsheetml/2006/main">
  <x:sheetPr>
    <x:tabColor rgb="FFEEEEEE"/>
  </x:sheetPr>
  <x:sheetFormatPr baseColWidth="10" defaultColWidth="11.42578125" defaultRowHeight="12.75"/>
  <x:cols>
    <x:col min="1" max="16384" width="11.42578125" style="8" customWidth="0"/>
  </x:cols>
  <x:sheetData/>
  <x:pageMargins left="0.7" right="0.7" top="0.75" bottom="0.75" header="0.3" footer="0.3"/>
  <x:drawing xmlns:r="http://schemas.openxmlformats.org/officeDocument/2006/relationships" r:id="R4383057686c740df"/>
</x:worksheet>
</file>

<file path=xl/worksheets/sheet6.xml><?xml version="1.0" encoding="utf-8"?>
<x:worksheet xmlns:x="http://schemas.openxmlformats.org/spreadsheetml/2006/main">
  <x:sheetPr>
    <x:tabColor rgb="FFEEEEEE"/>
  </x:sheetPr>
  <x:sheetViews>
    <x:sheetView showGridLines="0" workbookViewId="0"/>
  </x:sheetViews>
  <x:sheetFormatPr baseColWidth="10" defaultColWidth="12.42578125" defaultRowHeight="12.75"/>
  <x:cols>
    <x:col min="1" max="16384" width="12.42578125" style="3" customWidth="0"/>
  </x:cols>
  <x:sheetData>
    <x:row r="1" ht="15">
      <x:c r="A1" s="2"/>
    </x:row>
    <x:row r="24"/>
    <x:row r="31">
      <x:c r="G31" s="4"/>
    </x:row>
    <x:row r="48"/>
    <x:row r="63">
      <x:c r="G63" s="5"/>
    </x:row>
    <x:row r="64">
      <x:c r="G64" s="5"/>
    </x:row>
    <x:row r="65">
      <x:c r="G65" s="5"/>
    </x:row>
    <x:row r="66">
      <x:c r="G66" s="5"/>
    </x:row>
    <x:row r="67">
      <x:c r="G67" s="5"/>
    </x:row>
    <x:row r="68">
      <x:c r="G68" s="5"/>
    </x:row>
    <x:row r="69">
      <x:c r="G69" s="5"/>
    </x:row>
    <x:row r="70">
      <x:c r="G70" s="5"/>
    </x:row>
    <x:row r="71">
      <x:c r="G71" s="5"/>
    </x:row>
    <x:row r="95"/>
  </x:sheetData>
  <x:pageMargins left="0.7" right="0.7" top="0.75" bottom="0.75" header="0.3" footer="0.3"/>
  <x:drawing xmlns:r="http://schemas.openxmlformats.org/officeDocument/2006/relationships" r:id="R8e41478e39584d6a"/>
</x:worksheet>
</file>

<file path=xl/worksheets/sheet7.xml><?xml version="1.0" encoding="utf-8"?>
<x:worksheet xmlns:x="http://schemas.openxmlformats.org/spreadsheetml/2006/main">
  <x:sheetPr>
    <x:tabColor rgb="FFEEEEEE"/>
  </x:sheetPr>
  <x:sheetViews>
    <x:sheetView showGridLines="0" workbookViewId="0"/>
  </x:sheetViews>
  <x:sheetFormatPr baseColWidth="10" defaultColWidth="12.42578125" defaultRowHeight="12.75"/>
  <x:cols>
    <x:col min="1" max="16384" width="12.42578125" style="3" customWidth="0"/>
  </x:cols>
  <x:sheetData>
    <x:row r="1" ht="15">
      <x:c r="A1" s="6"/>
      <x:c r="B1" s="15"/>
      <x:c r="C1" s="7"/>
    </x:row>
    <x:row r="2">
      <x:c r="A2" s="7"/>
      <x:c r="B2" s="15"/>
      <x:c r="C2" s="7"/>
    </x:row>
    <x:row r="3">
      <x:c r="A3" s="7"/>
      <x:c r="B3" s="15"/>
      <x:c r="C3" s="7"/>
    </x:row>
    <x:row r="4">
      <x:c r="A4" s="7"/>
      <x:c r="B4" s="15"/>
      <x:c r="C4" s="7"/>
    </x:row>
    <x:row r="5">
      <x:c r="A5" s="7"/>
      <x:c r="B5" s="7"/>
      <x:c r="C5" s="7"/>
    </x:row>
    <x:row r="6">
      <x:c r="A6" s="7"/>
      <x:c r="B6" s="7"/>
      <x:c r="C6" s="7"/>
    </x:row>
    <x:row r="7">
      <x:c r="A7" s="7"/>
      <x:c r="B7" s="7"/>
      <x:c r="C7" s="7"/>
    </x:row>
    <x:row r="34"/>
    <x:row r="41">
      <x:c r="G41" s="4"/>
    </x:row>
    <x:row r="59"/>
    <x:row r="64">
      <x:c r="G64" s="5"/>
    </x:row>
    <x:row r="83"/>
  </x:sheetData>
  <x:pageMargins left="0.7" right="0.7" top="0.75" bottom="0.75" header="0.3" footer="0.3"/>
  <x:drawing xmlns:r="http://schemas.openxmlformats.org/officeDocument/2006/relationships" r:id="R2056a71605f44668"/>
</x:worksheet>
</file>

<file path=xl/worksheets/sheet8.xml><?xml version="1.0" encoding="utf-8"?>
<x:worksheet xmlns:x="http://schemas.openxmlformats.org/spreadsheetml/2006/main">
  <x:sheetPr>
    <x:tabColor rgb="FFEEEEEE"/>
  </x:sheetPr>
  <x:sheetFormatPr baseColWidth="10" defaultColWidth="11.42578125" defaultRowHeight="12.75"/>
  <x:cols>
    <x:col min="1" max="1" width="9.140625" style="320" customWidth="1"/>
    <x:col min="2" max="8" width="25.7109375" style="320" customWidth="1"/>
    <x:col min="9" max="16384" width="11.42578125" style="320" customWidth="0"/>
  </x:cols>
  <x:sheetData>
    <x:row r="7" s="318" customFormat="1" ht="25.5">
      <x:c r="B7" s="317" t="s">
        <x:v>171</x:v>
      </x:c>
      <x:c r="C7" s="317" t="s">
        <x:v>172</x:v>
      </x:c>
      <x:c r="D7" s="317" t="s">
        <x:v>173</x:v>
      </x:c>
      <x:c r="E7" s="317" t="s">
        <x:v>174</x:v>
      </x:c>
      <x:c r="F7" s="317" t="s">
        <x:v>175</x:v>
      </x:c>
      <x:c r="G7" s="317" t="s">
        <x:v>176</x:v>
      </x:c>
      <x:c r="H7" s="317" t="s">
        <x:v>177</x:v>
      </x:c>
    </x:row>
    <x:row r="8">
      <x:c r="B8" s="319" t="str">
        <x:v>Business</x:v>
      </x:c>
      <x:c r="C8" s="319" t="str">
        <x:v>1</x:v>
      </x:c>
      <x:c r="D8" s="319" t="str">
        <x:v>M:COMPANION | Becoming a Daily Shopping Companion</x:v>
      </x:c>
      <x:c r="E8" s="319" t="str">
        <x:v>Deliver the core scope described in the project charter.</x:v>
      </x:c>
      <x:c r="F8" s="319" t="str">
        <x:v>Higher customer satisfaction and loyalty; consistent mobile touchpoint; scalable personalised communication channel; better digital customer insight.</x:v>
      </x:c>
      <x:c r="G8" s="319" t="str">
        <x:v>Customer value and operational benefits would not be realised; local workarounds would continue.</x:v>
      </x:c>
      <x:c r="H8" s="319" t="str">
        <x:v>See Costs &amp; Benefits</x:v>
      </x:c>
    </x:row>
    <x:row r="9">
      <x:c r="B9" s="319" t="str">
        <x:v>Rollout</x:v>
      </x:c>
      <x:c r="C9" s="319" t="str">
        <x:v>2</x:v>
      </x:c>
      <x:c r="D9" s="319" t="str">
        <x:v>Country rollout and adoption</x:v>
      </x:c>
      <x:c r="E9" s="319" t="str">
        <x:v>Enable affected countries, users and operating teams for sustainable use.</x:v>
      </x:c>
      <x:c r="F9" s="319" t="str">
        <x:v>Accelerates benefit realisation and reduces fragmented local solutions.</x:v>
      </x:c>
      <x:c r="G9" s="319" t="str">
        <x:v>Delayed rollout, inconsistent processes and lower adoption.</x:v>
      </x:c>
      <x:c r="H9" s="319" t="str">
        <x:v>Included in project costs</x:v>
      </x:c>
    </x:row>
    <x:row r="10">
      <x:c r="B10" s="319"/>
      <x:c r="C10" s="319"/>
      <x:c r="D10" s="319"/>
      <x:c r="E10" s="319"/>
      <x:c r="F10" s="319"/>
      <x:c r="G10" s="319"/>
      <x:c r="H10" s="319"/>
    </x:row>
    <x:row r="11">
      <x:c r="B11" s="319"/>
      <x:c r="C11" s="319"/>
      <x:c r="D11" s="319"/>
      <x:c r="E11" s="319"/>
      <x:c r="F11" s="319"/>
      <x:c r="G11" s="319"/>
      <x:c r="H11" s="319"/>
    </x:row>
  </x:sheetData>
  <x:pageMargins left="0.7" right="0.7" top="0.75" bottom="0.75" header="0.3" footer="0.3"/>
  <x:drawing xmlns:r="http://schemas.openxmlformats.org/officeDocument/2006/relationships" r:id="R966beab8ad63433b"/>
</x:worksheet>
</file>

<file path=xl/worksheets/sheet9.xml><?xml version="1.0" encoding="utf-8"?>
<x:worksheet xmlns:x="http://schemas.openxmlformats.org/spreadsheetml/2006/main">
  <x:sheetPr>
    <x:tabColor rgb="FFF4F4F4"/>
  </x:sheetPr>
  <x:sheetViews>
    <x:sheetView showGridLines="0" workbookViewId="0"/>
  </x:sheetViews>
  <x:sheetFormatPr baseColWidth="10" defaultColWidth="12.42578125" defaultRowHeight="12.75"/>
  <x:cols>
    <x:col min="1" max="16384" width="12.42578125" style="322" customWidth="0"/>
  </x:cols>
  <x:sheetData>
    <x:row r="1" ht="15">
      <x:c r="A1" s="321"/>
    </x:row>
    <x:row r="7">
      <x:c r="A7" s="320"/>
      <x:c r="B7" s="320"/>
    </x:row>
    <x:row r="8">
      <x:c r="A8" s="320"/>
      <x:c r="B8" s="323" t="str">
        <x:v>M:COMPANION | Becoming a Daily Shopping Companion</x:v>
      </x:c>
    </x:row>
    <x:row r="9">
      <x:c r="A9" s="320"/>
      <x:c r="B9" s="324"/>
    </x:row>
    <x:row r="10">
      <x:c r="A10" s="320"/>
      <x:c r="B10" s="320"/>
    </x:row>
    <x:row r="11">
      <x:c r="A11" s="320"/>
      <x:c r="B11" s="320"/>
    </x:row>
    <x:row r="12">
      <x:c r="A12" s="320"/>
      <x:c r="B12" s="323" t="str">
        <x:v>As-is: current processes and digital capabilities do not fully support the target customer experience at scale.</x:v>
      </x:c>
    </x:row>
    <x:row r="13" ht="15">
      <x:c r="A13" s="320"/>
      <x:c r="B13" s="325"/>
    </x:row>
    <x:row r="14">
      <x:c r="A14" s="320"/>
      <x:c r="B14" s="320"/>
    </x:row>
    <x:row r="15">
      <x:c r="A15" s="320"/>
      <x:c r="B15" s="320"/>
    </x:row>
    <x:row r="16">
      <x:c r="A16" s="320"/>
      <x:c r="B16" s="320"/>
    </x:row>
    <x:row r="17">
      <x:c r="A17" s="320"/>
      <x:c r="B17" s="320"/>
    </x:row>
    <x:row r="18">
      <x:c r="A18" s="320"/>
      <x:c r="B18" s="320"/>
    </x:row>
    <x:row r="19">
      <x:c r="A19" s="320"/>
      <x:c r="B19" s="320"/>
    </x:row>
    <x:row r="20">
      <x:c r="A20" s="320"/>
      <x:c r="B20" s="323" t="str">
        <x:v>To-be: a standardised, scalable solution is available across the target countries and embedded in the operating model.</x:v>
      </x:c>
    </x:row>
    <x:row r="21" ht="15">
      <x:c r="A21" s="320"/>
      <x:c r="B21" s="325"/>
    </x:row>
    <x:row r="22">
      <x:c r="A22" s="320"/>
      <x:c r="B22" s="320"/>
    </x:row>
    <x:row r="23">
      <x:c r="A23" s="320"/>
      <x:c r="B23" s="320"/>
    </x:row>
    <x:row r="24">
      <x:c r="A24" s="320"/>
      <x:c r="B24" s="320"/>
    </x:row>
    <x:row r="25">
      <x:c r="A25" s="320"/>
      <x:c r="B25" s="320"/>
    </x:row>
    <x:row r="26">
      <x:c r="A26" s="320"/>
      <x:c r="B26" s="320"/>
    </x:row>
    <x:row r="27">
      <x:c r="A27" s="320"/>
      <x:c r="B27" s="323" t="str">
        <x:v>Higher customer satisfaction and loyalty; consistent mobile touchpoint; scalable personalised communication channel; better digital customer insight.</x:v>
      </x:c>
    </x:row>
    <x:row r="28">
      <x:c r="A28" s="320"/>
      <x:c r="B28" s="326"/>
    </x:row>
    <x:row r="29">
      <x:c r="A29" s="320"/>
      <x:c r="B29" s="320"/>
    </x:row>
    <x:row r="44"/>
    <x:row r="59">
      <x:c r="G59" s="327"/>
    </x:row>
    <x:row r="60">
      <x:c r="G60" s="327"/>
    </x:row>
    <x:row r="61">
      <x:c r="G61" s="327"/>
    </x:row>
    <x:row r="62">
      <x:c r="G62" s="327"/>
    </x:row>
    <x:row r="63">
      <x:c r="G63" s="327"/>
    </x:row>
    <x:row r="64">
      <x:c r="G64" s="327"/>
    </x:row>
    <x:row r="65">
      <x:c r="G65" s="327"/>
    </x:row>
    <x:row r="66">
      <x:c r="G66" s="327"/>
    </x:row>
    <x:row r="67">
      <x:c r="G67" s="327"/>
    </x:row>
    <x:row r="91"/>
  </x:sheetData>
  <x:pageMargins left="0.7" right="0.7" top="0.75" bottom="0.75" header="0.3" footer="0.3"/>
  <x:drawing xmlns:r="http://schemas.openxmlformats.org/officeDocument/2006/relationships" r:id="Rb465c0f8366d4db2"/>
</x:worksheet>
</file>

<file path=xl/worksheets/sheet10.xml><?xml version="1.0" encoding="utf-8"?>
<x:worksheet xmlns:x="http://schemas.openxmlformats.org/spreadsheetml/2006/main">
  <x:sheetPr>
    <x:tabColor rgb="FFF4F4F4"/>
  </x:sheetPr>
  <x:sheetViews>
    <x:sheetView showGridLines="0" workbookViewId="0"/>
  </x:sheetViews>
  <x:sheetFormatPr baseColWidth="10" defaultColWidth="12.42578125" defaultRowHeight="12.75"/>
  <x:cols>
    <x:col min="1" max="16384" width="12.42578125" style="322" customWidth="0"/>
  </x:cols>
  <x:sheetData>
    <x:row r="1" ht="15">
      <x:c r="A1" s="328"/>
      <x:c r="B1" s="329"/>
      <x:c r="C1" s="330"/>
    </x:row>
    <x:row r="2">
      <x:c r="A2" s="330"/>
      <x:c r="B2" s="329"/>
      <x:c r="C2" s="330"/>
    </x:row>
    <x:row r="3">
      <x:c r="A3" s="330"/>
      <x:c r="B3" s="329"/>
      <x:c r="C3" s="330"/>
    </x:row>
    <x:row r="4">
      <x:c r="A4" s="330"/>
      <x:c r="B4" s="329"/>
      <x:c r="C4" s="330"/>
    </x:row>
    <x:row r="5">
      <x:c r="A5" s="330"/>
      <x:c r="B5" s="330"/>
      <x:c r="C5" s="330"/>
    </x:row>
    <x:row r="6">
      <x:c r="A6" s="330"/>
      <x:c r="B6" s="330"/>
      <x:c r="C6" s="330"/>
    </x:row>
    <x:row r="7">
      <x:c r="A7" s="320"/>
      <x:c r="B7" s="320"/>
      <x:c r="C7" s="330"/>
    </x:row>
    <x:row r="8">
      <x:c r="A8" s="320"/>
      <x:c r="B8" s="323" t="str">
        <x:v>Country rollout and adoption</x:v>
      </x:c>
    </x:row>
    <x:row r="9">
      <x:c r="A9" s="320"/>
      <x:c r="B9" s="320"/>
    </x:row>
    <x:row r="10">
      <x:c r="A10" s="320"/>
      <x:c r="B10" s="320"/>
    </x:row>
    <x:row r="11">
      <x:c r="A11" s="320"/>
      <x:c r="B11" s="320"/>
    </x:row>
    <x:row r="12">
      <x:c r="A12" s="320"/>
      <x:c r="B12" s="323" t="str">
        <x:v>As-is: adoption and local implementation maturity differ by country.</x:v>
      </x:c>
    </x:row>
    <x:row r="13">
      <x:c r="A13" s="320"/>
      <x:c r="B13" s="320"/>
    </x:row>
    <x:row r="14">
      <x:c r="A14" s="320"/>
      <x:c r="B14" s="320"/>
    </x:row>
    <x:row r="15">
      <x:c r="A15" s="320"/>
      <x:c r="B15" s="320"/>
    </x:row>
    <x:row r="16">
      <x:c r="A16" s="320"/>
      <x:c r="B16" s="320"/>
    </x:row>
    <x:row r="17">
      <x:c r="A17" s="320"/>
      <x:c r="B17" s="320"/>
    </x:row>
    <x:row r="18">
      <x:c r="A18" s="320"/>
      <x:c r="B18" s="320"/>
    </x:row>
    <x:row r="19">
      <x:c r="A19" s="320"/>
      <x:c r="B19" s="320"/>
    </x:row>
    <x:row r="20">
      <x:c r="A20" s="320"/>
      <x:c r="B20" s="323" t="str">
        <x:v>To-be: countries use a common rollout pattern, training approach and support model.</x:v>
      </x:c>
    </x:row>
    <x:row r="21">
      <x:c r="A21" s="320"/>
      <x:c r="B21" s="320"/>
    </x:row>
    <x:row r="22">
      <x:c r="A22" s="320"/>
      <x:c r="B22" s="320"/>
    </x:row>
    <x:row r="23">
      <x:c r="A23" s="320"/>
      <x:c r="B23" s="320"/>
    </x:row>
    <x:row r="24">
      <x:c r="A24" s="320"/>
      <x:c r="B24" s="320"/>
    </x:row>
    <x:row r="25">
      <x:c r="A25" s="320"/>
      <x:c r="B25" s="320"/>
    </x:row>
    <x:row r="26">
      <x:c r="A26" s="320"/>
      <x:c r="B26" s="320"/>
    </x:row>
    <x:row r="27">
      <x:c r="A27" s="320"/>
      <x:c r="B27" s="323" t="str">
        <x:v>Faster adoption, less local duplication, better comparability and more reliable benefit realisation.</x:v>
      </x:c>
    </x:row>
    <x:row r="28">
      <x:c r="A28" s="320"/>
      <x:c r="B28" s="320"/>
    </x:row>
    <x:row r="29">
      <x:c r="A29" s="320"/>
      <x:c r="B29" s="320"/>
    </x:row>
    <x:row r="34"/>
    <x:row r="41">
      <x:c r="G41" s="331"/>
    </x:row>
    <x:row r="59"/>
    <x:row r="64">
      <x:c r="G64" s="327"/>
    </x:row>
    <x:row r="83"/>
  </x:sheetData>
  <x:pageMargins left="0.7" right="0.7" top="0.75" bottom="0.75" header="0.3" footer="0.3"/>
  <x:drawing xmlns:r="http://schemas.openxmlformats.org/officeDocument/2006/relationships" r:id="Re7da834e04ae4f4c"/>
</x:worksheet>
</file>

<file path=xl/worksheets/sheet11.xml><?xml version="1.0" encoding="utf-8"?>
<x:worksheet xmlns:x="http://schemas.openxmlformats.org/spreadsheetml/2006/main">
  <x:sheetPr>
    <x:tabColor rgb="FFEEEEEE"/>
  </x:sheetPr>
  <x:sheetViews>
    <x:sheetView showGridLines="0" workbookViewId="0"/>
  </x:sheetViews>
  <x:sheetFormatPr baseColWidth="10" defaultColWidth="11.42578125" defaultRowHeight="12.75"/>
  <x:cols>
    <x:col min="1" max="1" width="5.28515625" style="3" customWidth="1"/>
    <x:col min="2" max="2" width="63.5703125" style="13" customWidth="1"/>
    <x:col min="3" max="3" width="23.85546875" style="14" customWidth="1"/>
    <x:col min="4" max="16384" width="11.42578125" style="3" customWidth="0"/>
  </x:cols>
  <x:sheetData>
    <x:row r="1" ht="18">
      <x:c r="B1" s="283" t="s">
        <x:v>178</x:v>
      </x:c>
      <x:c r="C1" s="284"/>
    </x:row>
    <x:row r="3" ht="15.75" customHeight="1">
      <x:c r="B3" s="277" t="s">
        <x:v>179</x:v>
      </x:c>
      <x:c r="C3" s="278" t="s">
        <x:v>180</x:v>
      </x:c>
    </x:row>
    <x:row r="4" ht="15.75" customHeight="1">
      <x:c r="B4" s="281" t="s">
        <x:v>181</x:v>
      </x:c>
      <x:c r="C4" s="282"/>
    </x:row>
    <x:row r="5" ht="51" customHeight="1">
      <x:c r="B5" s="383" t="s">
        <x:v>182</x:v>
      </x:c>
      <x:c r="C5" s="382"/>
    </x:row>
    <x:row r="6" ht="15.75" customHeight="1">
      <x:c r="B6" s="281" t="s">
        <x:v>183</x:v>
      </x:c>
      <x:c r="C6" s="282"/>
    </x:row>
    <x:row r="7" ht="51.75" customHeight="1">
      <x:c r="B7" s="384" t="s">
        <x:v>184</x:v>
      </x:c>
      <x:c r="C7" s="385"/>
    </x:row>
    <x:row r="8" ht="15.75" customHeight="1">
      <x:c r="B8" s="277" t="s">
        <x:v>185</x:v>
      </x:c>
      <x:c r="C8" s="278" t="s">
        <x:v>186</x:v>
      </x:c>
    </x:row>
    <x:row r="9" ht="15.75" customHeight="1">
      <x:c r="B9" s="281" t="s">
        <x:v>187</x:v>
      </x:c>
      <x:c r="C9" s="282"/>
    </x:row>
    <x:row r="10" ht="92.25" customHeight="1">
      <x:c r="B10" s="381" t="s">
        <x:v>188</x:v>
      </x:c>
      <x:c r="C10" s="382"/>
      <x:c r="G10" s="10"/>
    </x:row>
    <x:row r="11" ht="15.75" customHeight="1">
      <x:c r="B11" s="281" t="s">
        <x:v>189</x:v>
      </x:c>
      <x:c r="C11" s="282"/>
      <x:c r="G11" s="11"/>
    </x:row>
    <x:row r="12" ht="77.25" customHeight="1">
      <x:c r="B12" s="379" t="s">
        <x:v>190</x:v>
      </x:c>
      <x:c r="C12" s="380"/>
      <x:c r="G12" s="11"/>
    </x:row>
    <x:row r="13" ht="15.75" customHeight="1">
      <x:c r="B13" s="277" t="s">
        <x:v>191</x:v>
      </x:c>
      <x:c r="C13" s="278" t="s">
        <x:v>192</x:v>
      </x:c>
      <x:c r="G13" s="12"/>
    </x:row>
    <x:row r="14" ht="15.75" customHeight="1">
      <x:c r="B14" s="281" t="s">
        <x:v>193</x:v>
      </x:c>
      <x:c r="C14" s="282"/>
    </x:row>
    <x:row r="15" ht="66.75" customHeight="1">
      <x:c r="B15" s="381" t="s">
        <x:v>194</x:v>
      </x:c>
      <x:c r="C15" s="382"/>
    </x:row>
    <x:row r="16" ht="15.75" customHeight="1">
      <x:c r="B16" s="281" t="s">
        <x:v>195</x:v>
      </x:c>
      <x:c r="C16" s="282"/>
    </x:row>
    <x:row r="17" ht="56.25" customHeight="1">
      <x:c r="B17" s="379" t="s">
        <x:v>196</x:v>
      </x:c>
      <x:c r="C17" s="380"/>
    </x:row>
    <x:row r="18" ht="15.75" customHeight="1">
      <x:c r="B18" s="277" t="s">
        <x:v>197</x:v>
      </x:c>
      <x:c r="C18" s="278" t="s">
        <x:v>198</x:v>
      </x:c>
    </x:row>
    <x:row r="19" ht="17.25" customHeight="1">
      <x:c r="B19" s="386" t="s">
        <x:v>199</x:v>
      </x:c>
      <x:c r="C19" s="387"/>
    </x:row>
    <x:row r="20" ht="15.75" customHeight="1">
      <x:c r="B20" s="277" t="s">
        <x:v>200</x:v>
      </x:c>
      <x:c r="C20" s="278" t="s">
        <x:v>201</x:v>
      </x:c>
    </x:row>
    <x:row r="21" ht="19.5" customHeight="1">
      <x:c r="B21" s="386" t="s">
        <x:v>202</x:v>
      </x:c>
      <x:c r="C21" s="387"/>
    </x:row>
    <x:row r="22" ht="15.75" customHeight="1">
      <x:c r="B22" s="279" t="s">
        <x:v>203</x:v>
      </x:c>
      <x:c r="C22" s="280" t="s">
        <x:v>204</x:v>
      </x:c>
    </x:row>
    <x:row r="23" ht="29.25" customHeight="1">
      <x:c r="B23" s="379" t="s">
        <x:v>205</x:v>
      </x:c>
      <x:c r="C23" s="380"/>
    </x:row>
  </x:sheetData>
  <x:mergeCells>
    <x:mergeCell ref="B23:C23"/>
    <x:mergeCell ref="B12:C12"/>
    <x:mergeCell ref="B15:C15"/>
    <x:mergeCell ref="B17:C17"/>
    <x:mergeCell ref="B5:C5"/>
    <x:mergeCell ref="B7:C7"/>
    <x:mergeCell ref="B10:C10"/>
    <x:mergeCell ref="B19:C19"/>
    <x:mergeCell ref="B21:C21"/>
  </x:mergeCells>
  <x:pageMargins left="0.7" right="0.7" top="0.75" bottom="0.75" header="0.3" footer="0.3"/>
</x:worksheet>
</file>