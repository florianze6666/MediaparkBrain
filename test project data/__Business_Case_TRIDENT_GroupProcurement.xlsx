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TRIDENT – E-Procurement Source-to-Pay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Melanie Sauer</t>
        </is>
      </c>
    </row>
    <row r="5">
      <c r="A5" s="3" t="inlineStr">
        <is>
          <t>MCC Decision item ID</t>
        </is>
      </c>
      <c r="B5" t="inlineStr">
        <is>
          <t>4084</t>
        </is>
      </c>
      <c r="D5" s="3" t="inlineStr">
        <is>
          <t>Project Sponsor</t>
        </is>
      </c>
      <c r="E5" t="inlineStr">
        <is>
          <t>Christoph Lindner (VP Procurement)</t>
        </is>
      </c>
    </row>
    <row r="6">
      <c r="A6" s="3" t="inlineStr">
        <is>
          <t>Project Number(s)</t>
        </is>
      </c>
      <c r="B6" t="inlineStr">
        <is>
          <t>BC-2026-0567.1</t>
        </is>
      </c>
      <c r="D6" s="3" t="inlineStr">
        <is>
          <t>Creation date</t>
        </is>
      </c>
      <c r="E6" t="inlineStr">
        <is>
          <t>2026-09-01</t>
        </is>
      </c>
    </row>
    <row r="7">
      <c r="A7" s="3" t="inlineStr">
        <is>
          <t>Project Name</t>
        </is>
      </c>
      <c r="B7" t="inlineStr">
        <is>
          <t>TRIDENT – E-Procurement Source-to-Pay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Group Procurement</t>
        </is>
      </c>
      <c r="D8" s="3" t="inlineStr">
        <is>
          <t>Go-Live (FY)</t>
        </is>
      </c>
      <c r="E8" t="n">
        <v>2027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150000</v>
      </c>
      <c r="C14" s="6" t="n">
        <v>300000</v>
      </c>
      <c r="D14" s="6" t="n">
        <v>300000</v>
      </c>
      <c r="E14" s="6" t="n">
        <v>300000</v>
      </c>
      <c r="F14" s="6" t="n">
        <v>300000</v>
      </c>
      <c r="G14" s="6" t="n">
        <v>300000</v>
      </c>
      <c r="H14" s="6" t="n">
        <v>300000</v>
      </c>
      <c r="I14" s="6" t="n">
        <v>300000</v>
      </c>
      <c r="J14" s="6" t="n">
        <v>300000</v>
      </c>
      <c r="K14" s="6" t="n">
        <v>300000</v>
      </c>
      <c r="L14" s="7">
        <f>SUM(B14:K14)</f>
        <v/>
      </c>
    </row>
    <row r="15">
      <c r="A15" s="5" t="inlineStr">
        <is>
          <t>Depreciation</t>
        </is>
      </c>
      <c r="B15" s="6" t="n">
        <v>49000</v>
      </c>
      <c r="C15" s="6" t="n">
        <v>88200</v>
      </c>
      <c r="D15" s="6" t="n">
        <v>88200</v>
      </c>
      <c r="E15" s="6" t="n">
        <v>88200</v>
      </c>
      <c r="F15" s="6" t="n">
        <v>88200</v>
      </c>
      <c r="G15" s="6" t="n">
        <v>88200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390000</v>
      </c>
      <c r="D18" s="6" t="n">
        <v>780000</v>
      </c>
      <c r="E18" s="6" t="n">
        <v>780000</v>
      </c>
      <c r="F18" s="6" t="n">
        <v>780000</v>
      </c>
      <c r="G18" s="6" t="n">
        <v>780000</v>
      </c>
      <c r="H18" s="6" t="n">
        <v>780000</v>
      </c>
      <c r="I18" s="6" t="n">
        <v>780000</v>
      </c>
      <c r="J18" s="6" t="n">
        <v>780000</v>
      </c>
      <c r="K18" s="6" t="n">
        <v>780000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 t="e">
        <v>#REF!</v>
      </c>
      <c r="F20" s="6" t="e">
        <v>#REF!</v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3340000</v>
      </c>
    </row>
    <row r="24">
      <c r="A24" s="3" t="inlineStr">
        <is>
          <t>Total benefits (all years)</t>
        </is>
      </c>
      <c r="B24" s="6" t="n">
        <v>6630000</v>
      </c>
    </row>
    <row r="25">
      <c r="A25" s="3" t="inlineStr">
        <is>
          <t>EBIT (all years)</t>
        </is>
      </c>
      <c r="B25" s="6" t="n">
        <v>3290000</v>
      </c>
    </row>
    <row r="26">
      <c r="A26" s="3" t="inlineStr">
        <is>
          <t>Discounted EVA cumulated (all years)</t>
        </is>
      </c>
      <c r="B26" s="6" t="n">
        <v>1555719</v>
      </c>
    </row>
    <row r="27">
      <c r="A27" s="3" t="inlineStr">
        <is>
          <t>ROI (all years)</t>
        </is>
      </c>
      <c r="B27" s="8" t="n">
        <v>0.99</v>
      </c>
    </row>
    <row r="28">
      <c r="A28" s="3" t="inlineStr">
        <is>
          <t>Payback Period (months)</t>
        </is>
      </c>
      <c r="B28" t="inlineStr">
        <is>
          <t>n/a</t>
        </is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-199000</v>
      </c>
      <c r="C4" s="6" t="n">
        <v>1800</v>
      </c>
      <c r="D4" s="6" t="n">
        <v>391800</v>
      </c>
      <c r="E4" s="6" t="n">
        <v>391800</v>
      </c>
      <c r="F4" s="6" t="n">
        <v>391800</v>
      </c>
      <c r="G4" s="6" t="n">
        <v>391800</v>
      </c>
      <c r="H4" s="6" t="n">
        <v>480000</v>
      </c>
      <c r="I4" s="6" t="n">
        <v>480000</v>
      </c>
      <c r="J4" s="6" t="n">
        <v>480000</v>
      </c>
      <c r="K4" s="6" t="n">
        <v>480000</v>
      </c>
      <c r="L4" s="6">
        <f>SUM(B4:K4)</f>
        <v/>
      </c>
    </row>
    <row r="5">
      <c r="A5" t="inlineStr">
        <is>
          <t>Calculated Tax</t>
        </is>
      </c>
      <c r="B5" s="6" t="n">
        <v>53608</v>
      </c>
      <c r="C5" s="6" t="n">
        <v>-485</v>
      </c>
      <c r="D5" s="6" t="n">
        <v>-105546</v>
      </c>
      <c r="E5" s="6" t="n">
        <v>-105546</v>
      </c>
      <c r="F5" s="6" t="n">
        <v>-105546</v>
      </c>
      <c r="G5" s="6" t="n">
        <v>-105546</v>
      </c>
      <c r="H5" s="6" t="n">
        <v>-129306</v>
      </c>
      <c r="I5" s="6" t="n">
        <v>-129306</v>
      </c>
      <c r="J5" s="6" t="n">
        <v>-129306</v>
      </c>
      <c r="K5" s="6" t="n">
        <v>-129306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-145392</v>
      </c>
      <c r="C6" s="6" t="n">
        <v>1315</v>
      </c>
      <c r="D6" s="6" t="n">
        <v>286254</v>
      </c>
      <c r="E6" s="6" t="n">
        <v>286254</v>
      </c>
      <c r="F6" s="6" t="n">
        <v>286254</v>
      </c>
      <c r="G6" s="6" t="n">
        <v>286254</v>
      </c>
      <c r="H6" s="6" t="n">
        <v>350694</v>
      </c>
      <c r="I6" s="6" t="n">
        <v>350694</v>
      </c>
      <c r="J6" s="6" t="n">
        <v>350694</v>
      </c>
      <c r="K6" s="6" t="n">
        <v>350694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441000</v>
      </c>
      <c r="C7" s="6" t="n">
        <v>352800</v>
      </c>
      <c r="D7" s="6" t="n">
        <v>264600</v>
      </c>
      <c r="E7" s="6" t="n">
        <v>176400</v>
      </c>
      <c r="F7" s="6" t="n">
        <v>88200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-25624</v>
      </c>
      <c r="C8" s="6" t="n">
        <v>-20499</v>
      </c>
      <c r="D8" s="6" t="n">
        <v>-15374</v>
      </c>
      <c r="E8" s="6" t="n">
        <v>-10250</v>
      </c>
      <c r="F8" s="6" t="n">
        <v>-5125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-171016</v>
      </c>
      <c r="C9" s="6" t="n">
        <v>-19184</v>
      </c>
      <c r="D9" s="6" t="n">
        <v>270880</v>
      </c>
      <c r="E9" s="6" t="n">
        <v>276005</v>
      </c>
      <c r="F9" s="6" t="n">
        <v>281129</v>
      </c>
      <c r="G9" s="6" t="n">
        <v>286254</v>
      </c>
      <c r="H9" s="6" t="n">
        <v>350694</v>
      </c>
      <c r="I9" s="6" t="n">
        <v>350694</v>
      </c>
      <c r="J9" s="6" t="n">
        <v>350694</v>
      </c>
      <c r="K9" s="6" t="n">
        <v>350694</v>
      </c>
      <c r="L9" s="6">
        <f>SUM(B9:K9)</f>
        <v/>
      </c>
    </row>
    <row r="10">
      <c r="A10" t="inlineStr">
        <is>
          <t>Discounted EVA per period</t>
        </is>
      </c>
      <c r="B10" s="6" t="n">
        <v>-161625</v>
      </c>
      <c r="C10" s="6" t="n">
        <v>-17135</v>
      </c>
      <c r="D10" s="6" t="n">
        <v>228660</v>
      </c>
      <c r="E10" s="6" t="n">
        <v>220192</v>
      </c>
      <c r="F10" s="6" t="n">
        <v>211965</v>
      </c>
      <c r="G10" s="6" t="n">
        <v>203977</v>
      </c>
      <c r="H10" s="6" t="n">
        <v>236172</v>
      </c>
      <c r="I10" s="6" t="n">
        <v>223203</v>
      </c>
      <c r="J10" s="6" t="n">
        <v>210946</v>
      </c>
      <c r="K10" s="6" t="n">
        <v>199362</v>
      </c>
      <c r="L10" s="6">
        <f>SUM(B10:K10)</f>
        <v/>
      </c>
    </row>
    <row r="11">
      <c r="A11" t="inlineStr">
        <is>
          <t>Discounted EVA cumulated</t>
        </is>
      </c>
      <c r="B11" s="6" t="n">
        <v>-161625</v>
      </c>
      <c r="C11" s="6" t="n">
        <v>-178760</v>
      </c>
      <c r="D11" s="6" t="n">
        <v>49900</v>
      </c>
      <c r="E11" s="6" t="n">
        <v>270093</v>
      </c>
      <c r="F11" s="6" t="n">
        <v>482058</v>
      </c>
      <c r="G11" s="6" t="n">
        <v>686034</v>
      </c>
      <c r="H11" s="6" t="n">
        <v>922207</v>
      </c>
      <c r="I11" s="6" t="n">
        <v>1145410</v>
      </c>
      <c r="J11" s="6" t="n">
        <v>1356356</v>
      </c>
      <c r="K11" s="6" t="n">
        <v>1555719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9" t="n">
        <v>0.2693868692901478</v>
      </c>
      <c r="D15" t="inlineStr">
        <is>
          <t>WACC:</t>
        </is>
      </c>
      <c r="E15" s="9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130000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280000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80000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/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60000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90000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0</v>
      </c>
      <c r="F8" s="6" t="n">
        <v>40000</v>
      </c>
      <c r="G8" s="6" t="n">
        <v>40000</v>
      </c>
      <c r="H8" s="6" t="n">
        <v>40000</v>
      </c>
      <c r="I8" s="6" t="n">
        <v>40000</v>
      </c>
      <c r="J8" s="6" t="n">
        <v>40000</v>
      </c>
      <c r="K8" s="6" t="n">
        <v>40000</v>
      </c>
      <c r="L8" s="6" t="n">
        <v>40000</v>
      </c>
      <c r="M8" s="6" t="n">
        <v>40000</v>
      </c>
      <c r="N8" s="6" t="n">
        <v>40000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0</v>
      </c>
      <c r="F9" s="6" t="n">
        <v>260000</v>
      </c>
      <c r="G9" s="6" t="n">
        <v>260000</v>
      </c>
      <c r="H9" s="6" t="n">
        <v>260000</v>
      </c>
      <c r="I9" s="6" t="n">
        <v>260000</v>
      </c>
      <c r="J9" s="6" t="n">
        <v>260000</v>
      </c>
      <c r="K9" s="6" t="n">
        <v>260000</v>
      </c>
      <c r="L9" s="6" t="n">
        <v>260000</v>
      </c>
      <c r="M9" s="6" t="n">
        <v>260000</v>
      </c>
      <c r="N9" s="6" t="n">
        <v>260000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/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t="n">
        <v>20</v>
      </c>
      <c r="B11" t="inlineStr">
        <is>
          <t>Cost Savings</t>
        </is>
      </c>
      <c r="D11" t="inlineStr">
        <is>
          <t>Einsparung Einkaufsvolumen indirekt (3 % auf 210 Mio.)</t>
        </is>
      </c>
      <c r="E11" s="6" t="n">
        <v>0</v>
      </c>
      <c r="F11" s="6" t="n">
        <v>315000</v>
      </c>
      <c r="G11" s="6" t="n">
        <v>630000</v>
      </c>
      <c r="H11" s="6" t="n">
        <v>630000</v>
      </c>
      <c r="I11" s="6" t="n">
        <v>630000</v>
      </c>
      <c r="J11" s="6" t="n">
        <v>630000</v>
      </c>
      <c r="K11" s="6" t="n">
        <v>630000</v>
      </c>
      <c r="L11" s="6" t="n">
        <v>630000</v>
      </c>
      <c r="M11" s="6" t="n">
        <v>630000</v>
      </c>
      <c r="N11" s="6" t="n">
        <v>630000</v>
      </c>
    </row>
    <row r="12">
      <c r="A12" t="n">
        <v>21</v>
      </c>
      <c r="B12" t="inlineStr">
        <is>
          <t>Cost Savings</t>
        </is>
      </c>
      <c r="D12" t="inlineStr">
        <is>
          <t>Prozesskosten Bestellabwicklung</t>
        </is>
      </c>
      <c r="E12" s="6" t="n">
        <v>0</v>
      </c>
      <c r="F12" s="6" t="n">
        <v>75000</v>
      </c>
      <c r="G12" s="6" t="n">
        <v>150000</v>
      </c>
      <c r="H12" s="6" t="n">
        <v>150000</v>
      </c>
      <c r="I12" s="6" t="n">
        <v>150000</v>
      </c>
      <c r="J12" s="6" t="n">
        <v>150000</v>
      </c>
      <c r="K12" s="6" t="n">
        <v>150000</v>
      </c>
      <c r="L12" s="6" t="n">
        <v>150000</v>
      </c>
      <c r="M12" s="6" t="n">
        <v>150000</v>
      </c>
      <c r="N12" s="6" t="n">
        <v>150000</v>
      </c>
    </row>
    <row r="13">
      <c r="A13" t="n">
        <v>26</v>
      </c>
      <c r="B13" t="inlineStr">
        <is>
          <t>Non-quantitative Benefits</t>
        </is>
      </c>
      <c r="D13" t="inlineStr">
        <is>
          <t>Compliance; Transparenz Lieferantenrisiken; Vertragsübersicht.</t>
        </is>
      </c>
    </row>
    <row r="14">
      <c r="A14" t="n">
        <v>31</v>
      </c>
      <c r="B14" t="inlineStr">
        <is>
          <t>Project Number</t>
        </is>
      </c>
      <c r="D14" t="inlineStr">
        <is>
          <t>BC-2026-0567.1</t>
        </is>
      </c>
    </row>
    <row r="15">
      <c r="A15" t="n">
        <v>32</v>
      </c>
      <c r="B15" t="inlineStr">
        <is>
          <t>Start FY</t>
        </is>
      </c>
      <c r="D15" t="n">
        <v>2026</v>
      </c>
    </row>
    <row r="16">
      <c r="A16" t="n">
        <v>33</v>
      </c>
      <c r="B16" t="inlineStr">
        <is>
          <t>Go-Live FY</t>
        </is>
      </c>
      <c r="D16" t="n">
        <v>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0" t="inlineStr">
        <is>
          <t>Project Name</t>
        </is>
      </c>
      <c r="B1" s="11" t="inlineStr">
        <is>
          <t>TRIDENT – E-Procurement Source-to-Pay</t>
        </is>
      </c>
    </row>
    <row r="2">
      <c r="A2" s="10" t="inlineStr">
        <is>
          <t>Project Number</t>
        </is>
      </c>
      <c r="B2" s="11" t="inlineStr">
        <is>
          <t>BC-2026-0567.1</t>
        </is>
      </c>
    </row>
    <row r="3">
      <c r="A3" s="10" t="inlineStr">
        <is>
          <t>Partner / Operating</t>
        </is>
      </c>
      <c r="B3" s="11" t="inlineStr">
        <is>
          <t>VELTRAX Corporate Services GmbH</t>
        </is>
      </c>
    </row>
    <row r="4">
      <c r="A4" s="10" t="inlineStr">
        <is>
          <t>Requesting Unit</t>
        </is>
      </c>
      <c r="B4" s="11" t="inlineStr">
        <is>
          <t>Group Procurement</t>
        </is>
      </c>
    </row>
    <row r="5">
      <c r="A5" s="10" t="inlineStr">
        <is>
          <t>Project Sponsor</t>
        </is>
      </c>
      <c r="B5" s="11" t="inlineStr">
        <is>
          <t>Christoph Lindner (VP Procurement)</t>
        </is>
      </c>
    </row>
    <row r="6">
      <c r="A6" s="10" t="inlineStr">
        <is>
          <t>Project Manager</t>
        </is>
      </c>
      <c r="B6" s="11" t="inlineStr">
        <is>
          <t>Melanie Sauer</t>
        </is>
      </c>
    </row>
    <row r="7">
      <c r="A7" s="10" t="inlineStr">
        <is>
          <t>Lead - Affected Countries</t>
        </is>
      </c>
      <c r="B7" s="11" t="inlineStr">
        <is>
          <t>CORP; DE; AT; FR; ES; IT; PL</t>
        </is>
      </c>
    </row>
    <row r="8">
      <c r="A8" s="10" t="inlineStr">
        <is>
          <t>Description</t>
        </is>
      </c>
      <c r="B8" s="11" t="inlineStr">
        <is>
          <t>Einführung einer Source-to-Pay-Suite für indirekten Einkauf: Katalogbestellungen, Ausschreibungen, Vertragsmanagement, Lieferantenportal. Ablösung von Bestellungen per E-Mail und Excel-Ausschreibungen.</t>
        </is>
      </c>
    </row>
    <row r="9">
      <c r="A9" s="10" t="inlineStr">
        <is>
          <t>Objective (OKR/VCP)</t>
        </is>
      </c>
      <c r="B9" s="11" t="inlineStr">
        <is>
          <t>OBJ-610 – Maverick-Buying-Quote unter 10 %.</t>
        </is>
      </c>
    </row>
    <row r="10">
      <c r="A10" s="10" t="inlineStr">
        <is>
          <t>Metrics</t>
        </is>
      </c>
      <c r="B10" s="11" t="inlineStr">
        <is>
          <t>Maverick Buying von 34 % auf 10 %; Katalogquote 70 %; Einsparung Einkaufsvolumen indirekt 3 %</t>
        </is>
      </c>
    </row>
    <row r="11">
      <c r="A11" s="10" t="inlineStr">
        <is>
          <t>Planned Deliverables</t>
        </is>
      </c>
      <c r="B11" s="11" t="inlineStr">
        <is>
          <t>Katalog- und Bestellprozess (Phase 1); Sourcing und Vertragsmanagement (Phase 2); Lieferantenportal</t>
        </is>
      </c>
    </row>
    <row r="12">
      <c r="A12" s="10" t="inlineStr">
        <is>
          <t>Business Processes affected</t>
        </is>
      </c>
      <c r="B12" s="11" t="inlineStr">
        <is>
          <t>Procure-to-Pay, Sourcing, Vertragsmanagement, Lieferantenmanagement.</t>
        </is>
      </c>
    </row>
    <row r="13">
      <c r="A13" s="10" t="inlineStr">
        <is>
          <t>Organisational Units affected</t>
        </is>
      </c>
      <c r="B13" s="11" t="inlineStr">
        <is>
          <t>Group Procurement, Landeseinkauf, SSC Krakau (Kreditoren), Corporate IT.</t>
        </is>
      </c>
    </row>
    <row r="14">
      <c r="A14" s="10" t="inlineStr">
        <is>
          <t>Technical Dependencies</t>
        </is>
      </c>
      <c r="B14" s="11" t="inlineStr">
        <is>
          <t>Schnittstelle S/4 (ORBIT), Lieferantenstammdaten (MOSAIC), SSO (KEYSTONE).</t>
        </is>
      </c>
    </row>
    <row r="15">
      <c r="A15" s="10" t="inlineStr">
        <is>
          <t>Organisational Dependencies</t>
        </is>
      </c>
      <c r="B15" s="11" t="inlineStr">
        <is>
          <t>Einkaufsrichtlinie muss Katalogpflicht vorsehen; Betriebsrat.</t>
        </is>
      </c>
    </row>
    <row r="16">
      <c r="A16" s="10" t="inlineStr">
        <is>
          <t>Risks</t>
        </is>
      </c>
      <c r="B16" s="11" t="inlineStr">
        <is>
          <t>Lieferanten liefern keine Kataloge; Fachbereiche umgehen das System; Doppelprojekt mit ORBIT-Beschaffungsmodul</t>
        </is>
      </c>
    </row>
    <row r="17">
      <c r="A17" s="10" t="inlineStr">
        <is>
          <t>Justification</t>
        </is>
      </c>
      <c r="B17" s="11" t="inlineStr">
        <is>
          <t>Indirektes Einkaufsvolumen 210 Mio. € p.a. ohne Systemunterstützung; Einsparpotenzial durch Bündelung und Compliance.</t>
        </is>
      </c>
    </row>
    <row r="18">
      <c r="A18" s="10" t="inlineStr">
        <is>
          <t>Vendor / Product Information</t>
        </is>
      </c>
      <c r="B18" s="11" t="inlineStr">
        <is>
          <t>Coupa oder SAP Ariba (Ausschreibung läuft).</t>
        </is>
      </c>
    </row>
    <row r="20">
      <c r="A20" s="12" t="inlineStr">
        <is>
          <t>Hinweis</t>
        </is>
      </c>
      <c r="B20" s="12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